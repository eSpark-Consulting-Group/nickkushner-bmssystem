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ickkushner-bmssystem\Design Files\BOM\"/>
    </mc:Choice>
  </mc:AlternateContent>
  <bookViews>
    <workbookView xWindow="28680" yWindow="-120" windowWidth="29040" windowHeight="15840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Q45" i="1" l="1"/>
  <c r="Q45" i="2"/>
  <c r="Q44" i="2"/>
  <c r="B44" i="2"/>
  <c r="Q43" i="2"/>
  <c r="B43" i="2"/>
  <c r="Q42" i="2"/>
  <c r="B42" i="2"/>
  <c r="Q41" i="2"/>
  <c r="B41" i="2"/>
  <c r="Q42" i="1"/>
  <c r="Q43" i="1"/>
  <c r="Q44" i="1"/>
  <c r="Q41" i="1"/>
  <c r="B44" i="1"/>
  <c r="B41" i="1"/>
  <c r="B42" i="1"/>
  <c r="B43" i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10" i="2"/>
  <c r="Q40" i="2"/>
  <c r="B40" i="2"/>
  <c r="Q39" i="2"/>
  <c r="B39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B25" i="2"/>
  <c r="Q24" i="2"/>
  <c r="B24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46" i="2" l="1"/>
  <c r="Q40" i="1"/>
  <c r="M40" i="1"/>
  <c r="B40" i="1"/>
  <c r="Q39" i="1"/>
  <c r="M39" i="1"/>
  <c r="B39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M25" i="1"/>
  <c r="B25" i="1"/>
  <c r="Q24" i="1"/>
  <c r="M24" i="1"/>
  <c r="B24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46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<sst xmlns="http://schemas.openxmlformats.org/spreadsheetml/2006/main" count="772" uniqueCount="231">
  <si>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</si>
  <si>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</si>
  <si>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</si>
  <si>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</si>
  <si>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</si>
  <si>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</si>
  <si>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</si>
  <si>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</si>
  <si>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</si>
  <si>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</si>
  <si>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Right Angle JST</t>
  </si>
  <si>
    <t>Wire To Board Connector</t>
  </si>
  <si>
    <t>Diode</t>
  </si>
  <si>
    <t>TVS Diode</t>
  </si>
  <si>
    <t>THrough Hole Pads</t>
  </si>
  <si>
    <t>Mosfet</t>
  </si>
  <si>
    <t>Resistor</t>
  </si>
  <si>
    <t>Solder Bridge</t>
  </si>
  <si>
    <t>IC</t>
  </si>
  <si>
    <t>Designator</t>
  </si>
  <si>
    <t>C1</t>
  </si>
  <si>
    <t>C2</t>
  </si>
  <si>
    <t>C3, C4, C5, C6, C9, C19, C20</t>
  </si>
  <si>
    <t>C7</t>
  </si>
  <si>
    <t>C8</t>
  </si>
  <si>
    <t>C10</t>
  </si>
  <si>
    <t>C11, C12, C13, C15, C16, C17, C18</t>
  </si>
  <si>
    <t>C14</t>
  </si>
  <si>
    <t>CON1, CON2, CON3</t>
  </si>
  <si>
    <t>CON4</t>
  </si>
  <si>
    <t>D1, D2</t>
  </si>
  <si>
    <t>D3</t>
  </si>
  <si>
    <t>D4</t>
  </si>
  <si>
    <t>J1, J2, J7, J8, J9, J10</t>
  </si>
  <si>
    <t>L1</t>
  </si>
  <si>
    <t>NTC</t>
  </si>
  <si>
    <t>Q1, Q2</t>
  </si>
  <si>
    <t>Q3</t>
  </si>
  <si>
    <t>R1, R2, R3, R4, R5, R6, R7, R11, R12</t>
  </si>
  <si>
    <t>R8</t>
  </si>
  <si>
    <t>R9, R10, R21, R26, R27</t>
  </si>
  <si>
    <t>R13</t>
  </si>
  <si>
    <t>R14</t>
  </si>
  <si>
    <t>R15</t>
  </si>
  <si>
    <t>R16</t>
  </si>
  <si>
    <t>R17, R18, R19</t>
  </si>
  <si>
    <t>R20</t>
  </si>
  <si>
    <t>R22, R23, R24, R25</t>
  </si>
  <si>
    <t>SB1, SB2, SB3, SB4, SB5, SB6, SB7</t>
  </si>
  <si>
    <t>U1</t>
  </si>
  <si>
    <t>U2</t>
  </si>
  <si>
    <t>Description</t>
  </si>
  <si>
    <t>CAP CER 1UF 16V X5R 0201</t>
  </si>
  <si>
    <t>CAP CER 0.1UF 25V X6S 0201</t>
  </si>
  <si>
    <t>CAP CER 1UF 25V X5R 0402</t>
  </si>
  <si>
    <t>CAP CER 2.2UF 50V X5R 0805</t>
  </si>
  <si>
    <t>16V 4.7uF ±20% 0402 Multilayer Ceramic Capacitors</t>
  </si>
  <si>
    <t>CAP CER 4700PF 50V C0G/NPO 0603</t>
  </si>
  <si>
    <t>CAP CER 0.1UF 50V X7R 0603</t>
  </si>
  <si>
    <t>CAP CER 470PF 50V X7R 0603</t>
  </si>
  <si>
    <t>1x3P 1 1.25mm Male pin 3 -40℃~+85℃ Surface Mount SMD,P=1.25mm Wire To Board / Wire To Wire Connector ROHS</t>
  </si>
  <si>
    <t>CONN HEADER SMD R/A 4POS 1.5MM</t>
  </si>
  <si>
    <t>DIODE GEN PURP 100V 300MA SOD123</t>
  </si>
  <si>
    <t>SMB(DO-214AA)</t>
  </si>
  <si>
    <t>TO-277 Schottky Barrier Diodes (SBD) ROHS</t>
  </si>
  <si>
    <t>Wire Connecting Pad</t>
  </si>
  <si>
    <t>FERRITE BEAD 600 OHM 0201 1LN</t>
  </si>
  <si>
    <t>MOSFET N-CH 60V 100A TO252-3</t>
  </si>
  <si>
    <t>MOSFET P-CH 50V 130MA SOT323</t>
  </si>
  <si>
    <t>RES SMD 100 OHM 1% 1/8W 0805</t>
  </si>
  <si>
    <t>RES 10K OHM 1% 1/4W 0805</t>
  </si>
  <si>
    <t>RES 4.7K OHM 1% 1/16W 0402</t>
  </si>
  <si>
    <t>3W ±1% 1mΩ 3920 Chip Resistor - Surface Mount ROHS</t>
  </si>
  <si>
    <t>RES 10K OHM 1% 1/16W 0402</t>
  </si>
  <si>
    <t>RES 499K OHM 1% 1/16W 0402</t>
  </si>
  <si>
    <t>RES 1K OHM 1% 1/8W 0805</t>
  </si>
  <si>
    <t>RES 1M OHM 1% 1/8W 0805</t>
  </si>
  <si>
    <t>RES 0 OHM JUMPER 1/8W 0805</t>
  </si>
  <si>
    <t>RES 4.7K OHM 1% 1/20W 0201</t>
  </si>
  <si>
    <t>Solder Bridge ON</t>
  </si>
  <si>
    <t>IC BATT MON MULTI 3-5C 20TSSOP</t>
  </si>
  <si>
    <t>IC MCU 8BIT 16KB FLASH 20VQFN</t>
  </si>
  <si>
    <t>Footprint</t>
  </si>
  <si>
    <t>CAP-0201</t>
  </si>
  <si>
    <t>Cap-0402</t>
  </si>
  <si>
    <t>Cap-0805</t>
  </si>
  <si>
    <t>Cap-0603</t>
  </si>
  <si>
    <t>CAP-0603</t>
  </si>
  <si>
    <t>1.25-3PWB</t>
  </si>
  <si>
    <t>S4B-ZR-SM4A-TF(LF)(SN)</t>
  </si>
  <si>
    <t>SOD-123</t>
  </si>
  <si>
    <t>SMB_</t>
  </si>
  <si>
    <t>SB10100L</t>
  </si>
  <si>
    <t>Through Hole Pad (High Power)_</t>
  </si>
  <si>
    <t>IND 0201</t>
  </si>
  <si>
    <t>2P THrough Hole Pads</t>
  </si>
  <si>
    <t>TO-252-2L</t>
  </si>
  <si>
    <t>SOT-323</t>
  </si>
  <si>
    <t>RES-0805</t>
  </si>
  <si>
    <t>Res-0402</t>
  </si>
  <si>
    <t>RES 3920</t>
  </si>
  <si>
    <t>Res-0805</t>
  </si>
  <si>
    <t>Res-0201</t>
  </si>
  <si>
    <t>Solder Bridge 0402</t>
  </si>
  <si>
    <t>TSSOP-20</t>
  </si>
  <si>
    <t>20-VQFN (3x3)</t>
  </si>
  <si>
    <t>Manufacturer Part Number</t>
  </si>
  <si>
    <t>CC0201MRX5R7BB105</t>
  </si>
  <si>
    <t>GRM033C81E104KE14D</t>
  </si>
  <si>
    <t>GRM155R61E105KA12D</t>
  </si>
  <si>
    <t>CC0805KKX5R9BB225</t>
  </si>
  <si>
    <t>EDK105BBJ475MVLF</t>
  </si>
  <si>
    <t>CC0603JRNPO9BN472</t>
  </si>
  <si>
    <t>CL10B104KB8NNNL</t>
  </si>
  <si>
    <t>0603B471K500CT</t>
  </si>
  <si>
    <t>1N4148W-7-F</t>
  </si>
  <si>
    <t>SMBJ24A</t>
  </si>
  <si>
    <t>MMZ0603S601CT000</t>
  </si>
  <si>
    <t>IPD034N06N3G</t>
  </si>
  <si>
    <t>BSS84W-7-F</t>
  </si>
  <si>
    <t>AC0805FR-07100RL</t>
  </si>
  <si>
    <t>RC0805FR-7W10KL</t>
  </si>
  <si>
    <t>RC0402FR-074K7L</t>
  </si>
  <si>
    <t>HoLRS3920-3W-1mR-1%</t>
  </si>
  <si>
    <t>RC0402FR-0710KL</t>
  </si>
  <si>
    <t>RC0402FR-07499KL</t>
  </si>
  <si>
    <t>RC0805FR-071KL</t>
  </si>
  <si>
    <t>RC0805FR-071ML</t>
  </si>
  <si>
    <t>RC0805FR-070RL</t>
  </si>
  <si>
    <t>RC0201FR-074K7L</t>
  </si>
  <si>
    <t>BQ7692006PWR</t>
  </si>
  <si>
    <t>ATTINY1616-MNR</t>
  </si>
  <si>
    <t>Manufacturer</t>
  </si>
  <si>
    <t>Yageo</t>
  </si>
  <si>
    <t>Murata</t>
  </si>
  <si>
    <t>Taiyo Yuden</t>
  </si>
  <si>
    <t>Samsung</t>
  </si>
  <si>
    <t>Walsin Technologies</t>
  </si>
  <si>
    <t>DEALON</t>
  </si>
  <si>
    <t>JST</t>
  </si>
  <si>
    <t>Diodes</t>
  </si>
  <si>
    <t>SMC</t>
  </si>
  <si>
    <t>TWGMC</t>
  </si>
  <si>
    <t>TDK</t>
  </si>
  <si>
    <t>Infineon</t>
  </si>
  <si>
    <t>Milliohm</t>
  </si>
  <si>
    <t>Texas Instruments</t>
  </si>
  <si>
    <t>Microchip Tech</t>
  </si>
  <si>
    <t>LCSC Part Number</t>
  </si>
  <si>
    <t>C5182464</t>
  </si>
  <si>
    <t>C77009</t>
  </si>
  <si>
    <t>C326581</t>
  </si>
  <si>
    <t>C412302</t>
  </si>
  <si>
    <t>C576818</t>
  </si>
  <si>
    <t>C913912</t>
  </si>
  <si>
    <t>C93192</t>
  </si>
  <si>
    <t>C2905010</t>
  </si>
  <si>
    <t>C485354</t>
  </si>
  <si>
    <t>C83528</t>
  </si>
  <si>
    <t>C493201</t>
  </si>
  <si>
    <t>C5240369</t>
  </si>
  <si>
    <t>C110490</t>
  </si>
  <si>
    <t>C138274</t>
  </si>
  <si>
    <t>C105871</t>
  </si>
  <si>
    <t>C5336202</t>
  </si>
  <si>
    <t>C60490</t>
  </si>
  <si>
    <t>C137971</t>
  </si>
  <si>
    <t>C95781</t>
  </si>
  <si>
    <t>C107700</t>
  </si>
  <si>
    <t>C138135</t>
  </si>
  <si>
    <t>C507118</t>
  </si>
  <si>
    <t>1uF</t>
  </si>
  <si>
    <t>0.1uF</t>
  </si>
  <si>
    <t>2.2uF</t>
  </si>
  <si>
    <t>4.7uf</t>
  </si>
  <si>
    <t>4.7nF</t>
  </si>
  <si>
    <t>470pF</t>
  </si>
  <si>
    <t>100R</t>
  </si>
  <si>
    <t>10K</t>
  </si>
  <si>
    <t>4.7K</t>
  </si>
  <si>
    <t>1mΩ</t>
  </si>
  <si>
    <t>499K</t>
  </si>
  <si>
    <t>1K</t>
  </si>
  <si>
    <t>1M</t>
  </si>
  <si>
    <t>0R</t>
  </si>
  <si>
    <t>Quantity</t>
  </si>
  <si>
    <t>Bill of Materials for Project [BMS-v1.0]</t>
  </si>
  <si>
    <t>BMS-v1.0</t>
  </si>
  <si>
    <t>Ferrite Bead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</si>
  <si>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</si>
  <si>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</si>
  <si>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</si>
  <si>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</si>
  <si>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</si>
  <si>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</si>
  <si>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</si>
  <si>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</si>
  <si>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</si>
  <si>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</si>
  <si>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Custom</t>
  </si>
  <si>
    <t>LCSC</t>
  </si>
  <si>
    <t>TMK063ABJ104KP-F</t>
  </si>
  <si>
    <t>C386070</t>
  </si>
  <si>
    <t>TO-277</t>
  </si>
  <si>
    <t>BLM03AG601SN1D</t>
  </si>
  <si>
    <t>C85811</t>
  </si>
  <si>
    <t>C17414</t>
  </si>
  <si>
    <t>0805W8F0000T5E</t>
  </si>
  <si>
    <t>C17477</t>
  </si>
  <si>
    <t>C7428985</t>
  </si>
  <si>
    <t>Quantity (10 Boards)</t>
  </si>
  <si>
    <t>MOQ (10 Boards)</t>
  </si>
  <si>
    <t>Unit Cost (10 Boards)</t>
  </si>
  <si>
    <t>Total Cost (10 Boards)</t>
  </si>
  <si>
    <t>Do Not Mount</t>
  </si>
  <si>
    <t>IPD034N06N3G-VB</t>
  </si>
  <si>
    <t>Peripheral</t>
  </si>
  <si>
    <t>LDR150-100728-150-4P</t>
  </si>
  <si>
    <t>4 Pin Network cables ROHS</t>
  </si>
  <si>
    <t xml:space="preserve">DEALON </t>
  </si>
  <si>
    <t>C2998951</t>
  </si>
  <si>
    <t>LNN125-157128-200-3P</t>
  </si>
  <si>
    <t>C2998962</t>
  </si>
  <si>
    <t>3 Pin Single Housing Cable</t>
  </si>
  <si>
    <t>3 Pin Double Housing Cable</t>
  </si>
  <si>
    <t>LDR125-157128-070-3P</t>
  </si>
  <si>
    <t>C7465806</t>
  </si>
  <si>
    <t>MF52D 103F3950-100</t>
  </si>
  <si>
    <t>Nanjing Shiheng Elec</t>
  </si>
  <si>
    <t>10kΩ 50mW ±1% 3950K ±1% - NTC Thermistors ROHS</t>
  </si>
  <si>
    <t>C394024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</si>
</sst>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2" fillId="2" borderId="16" xfId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165" fontId="25" fillId="2" borderId="17" xfId="0" applyNumberFormat="1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165" fontId="25" fillId="2" borderId="16" xfId="0" applyNumberFormat="1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5" fontId="24" fillId="2" borderId="17" xfId="0" applyNumberFormat="1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978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Schottky-Barrier-Diodes-SBD_TWGMC-SB10100L_C5240369.html" TargetMode="External"/><Relationship Id="rId18" Type="http://schemas.openxmlformats.org/officeDocument/2006/relationships/hyperlink" Target="https://www.lcsc.com/product-detail/Chip-Resistor-Surface-Mount_YAGEO-RC0402FR-0710KL_C60490.html" TargetMode="External"/><Relationship Id="rId26" Type="http://schemas.openxmlformats.org/officeDocument/2006/relationships/hyperlink" Target="https://www.lcsc.com/product-detail/Chip-Resistor-Surface-Mount_UNI-ROYAL-Uniroyal-Elec-0805W8F0000T5E_C17477.html" TargetMode="External"/><Relationship Id="rId3" Type="http://schemas.openxmlformats.org/officeDocument/2006/relationships/hyperlink" Target="https://www.lcsc.com/product-detail/Multilayer-Ceramic-Capacitors-MLCC-SMD-SMT_Murata-Electronics-GRM155R61E105KA12D_C77009.html" TargetMode="External"/><Relationship Id="rId21" Type="http://schemas.openxmlformats.org/officeDocument/2006/relationships/hyperlink" Target="https://www.lcsc.com/product-detail/Chip-Resistor-Surface-Mount_YAGEO-RC0805FR-071ML_C107700.html" TargetMode="External"/><Relationship Id="rId7" Type="http://schemas.openxmlformats.org/officeDocument/2006/relationships/hyperlink" Target="https://www.lcsc.com/product-detail/Multilayer-Ceramic-Capacitors-MLCC-SMD-SMT_Samsung-Electro-Mechanics-CL10B104KB8NNNL_C913912.html" TargetMode="External"/><Relationship Id="rId12" Type="http://schemas.openxmlformats.org/officeDocument/2006/relationships/hyperlink" Target="https://www.lcsc.com/product-detail/TVS_SMC-Sangdest-Microelectronicstronic-Nanjing-SMBJ24A_C493201.html" TargetMode="External"/><Relationship Id="rId17" Type="http://schemas.openxmlformats.org/officeDocument/2006/relationships/hyperlink" Target="https://www.lcsc.com/product-detail/Chip-Resistor-Surface-Mount_Milliohm-HoLRS3920-3W-1mR-1_C5336202.html" TargetMode="External"/><Relationship Id="rId25" Type="http://schemas.openxmlformats.org/officeDocument/2006/relationships/hyperlink" Target="https://www.lcsc.com/product-detail/Chip-Resistor-Surface-Mount_UNI-ROYAL-Uniroyal-Elec-0805W8F1002T5E_C17414.html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Taiyo-Yuden-TMK063ABJ104KP-F_C386070.html" TargetMode="External"/><Relationship Id="rId16" Type="http://schemas.openxmlformats.org/officeDocument/2006/relationships/hyperlink" Target="https://www.lcsc.com/product-detail/Chip-Resistor-Surface-Mount_YAGEO-RC0402FR-074K7L_C105871.html" TargetMode="External"/><Relationship Id="rId20" Type="http://schemas.openxmlformats.org/officeDocument/2006/relationships/hyperlink" Target="https://www.lcsc.com/product-detail/Chip-Resistor-Surface-Mount_YAGEO-RC0805FR-071KL_C95781.html" TargetMode="External"/><Relationship Id="rId29" Type="http://schemas.openxmlformats.org/officeDocument/2006/relationships/hyperlink" Target="https://www.lcsc.com/product-detail/Network-cables_DEALON-LNN125-157128-200-3P_C2998962.html" TargetMode="External"/><Relationship Id="rId1" Type="http://schemas.openxmlformats.org/officeDocument/2006/relationships/hyperlink" Target="https://www.lcsc.com/product-detail/Multilayer-Ceramic-Capacitors-MLCC-SMD-SMT_YAGEO-CC0201MRX5R7BB105_C5182464.html" TargetMode="External"/><Relationship Id="rId6" Type="http://schemas.openxmlformats.org/officeDocument/2006/relationships/hyperlink" Target="https://www.lcsc.com/product-detail/Multilayer-Ceramic-Capacitors-MLCC-SMD-SMT_YAGEO-CC0603JRNPO9BN472_C576818.html" TargetMode="External"/><Relationship Id="rId11" Type="http://schemas.openxmlformats.org/officeDocument/2006/relationships/hyperlink" Target="https://www.lcsc.com/product-detail/Switching-Diode_Diodes-Incorporated-1N4148W-7-F_C83528.html" TargetMode="External"/><Relationship Id="rId24" Type="http://schemas.openxmlformats.org/officeDocument/2006/relationships/hyperlink" Target="https://www.lcsc.com/product-detail/Ferrite-Beads_Murata-Electronics-BLM03AG601SN1D_C85811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Taiyo-Yuden-EDK105BBJ475MVLF_C412302.html" TargetMode="External"/><Relationship Id="rId15" Type="http://schemas.openxmlformats.org/officeDocument/2006/relationships/hyperlink" Target="https://www.lcsc.com/product-detail/Chip-Resistor-Surface-Mount_YAGEO-AC0805FR-07100RL_C138274.html" TargetMode="External"/><Relationship Id="rId23" Type="http://schemas.openxmlformats.org/officeDocument/2006/relationships/hyperlink" Target="https://www.lcsc.com/product-detail/Microcontroller-Units-MCUs-MPUs-SOCs_Microchip-Tech-ATTINY1616-MNR_C507118.html" TargetMode="External"/><Relationship Id="rId28" Type="http://schemas.openxmlformats.org/officeDocument/2006/relationships/hyperlink" Target="https://www.lcsc.com/product-detail/Network-cables_DEALON-LDR150-100728-150-4P_C2998951.html" TargetMode="External"/><Relationship Id="rId10" Type="http://schemas.openxmlformats.org/officeDocument/2006/relationships/hyperlink" Target="https://www.lcsc.com/product-detail/Wire-To-Board-Wire-To-Wire-Connector_JST-S4B-ZR-SM4A-TF-LF-SN_C485354.html" TargetMode="External"/><Relationship Id="rId19" Type="http://schemas.openxmlformats.org/officeDocument/2006/relationships/hyperlink" Target="https://www.lcsc.com/product-detail/Chip-Resistor-Surface-Mount_YAGEO-RC0402FR-07499KL_C137971.html" TargetMode="External"/><Relationship Id="rId31" Type="http://schemas.openxmlformats.org/officeDocument/2006/relationships/hyperlink" Target="https://www.lcsc.com/product-detail/NTC-Thermistors_Nanjing-Shiheng-Elec-MF52D-103F3950-100_C394024.html" TargetMode="External"/><Relationship Id="rId4" Type="http://schemas.openxmlformats.org/officeDocument/2006/relationships/hyperlink" Target="https://www.lcsc.com/product-detail/Multilayer-Ceramic-Capacitors-MLCC-SMD-SMT_YAGEO-CC0805KKX5R9BB225_C326581.html" TargetMode="External"/><Relationship Id="rId9" Type="http://schemas.openxmlformats.org/officeDocument/2006/relationships/hyperlink" Target="https://www.lcsc.com/product-detail/Wire-To-Board-Wire-To-Wire-Connector_DEALON-1-25-3PWB_C2905010.html" TargetMode="External"/><Relationship Id="rId14" Type="http://schemas.openxmlformats.org/officeDocument/2006/relationships/hyperlink" Target="https://www.lcsc.com/product-detail/MOSFETs_Diodes-Incorporated-BSS84W-7-F_C110490.html" TargetMode="External"/><Relationship Id="rId22" Type="http://schemas.openxmlformats.org/officeDocument/2006/relationships/hyperlink" Target="https://www.lcsc.com/product-detail/Chip-Resistor-Surface-Mount_YAGEO-RC0201FR-074K7L_C138135.html" TargetMode="External"/><Relationship Id="rId27" Type="http://schemas.openxmlformats.org/officeDocument/2006/relationships/hyperlink" Target="https://www.lcsc.com/product-detail/MOSFETs_VBsemi-Elec-IPD034N06N3G-VB_C7428985.html" TargetMode="External"/><Relationship Id="rId30" Type="http://schemas.openxmlformats.org/officeDocument/2006/relationships/hyperlink" Target="https://www.lcsc.com/product-detail/Network-cables_DEALON-LDR125-157128-070-3P_C7465806.html" TargetMode="External"/><Relationship Id="rId8" Type="http://schemas.openxmlformats.org/officeDocument/2006/relationships/hyperlink" Target="https://www.lcsc.com/product-detail/Multilayer-Ceramic-Capacitors-MLCC-SMD-SMT_Walsin-Tech-Corp-0603B471K500CT_C93192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ultilayer-Ceramic-Capacitors-MLCC-SMD-SMT_Walsin-Tech-Corp-0603B471K500CT_C93192.html" TargetMode="External"/><Relationship Id="rId13" Type="http://schemas.openxmlformats.org/officeDocument/2006/relationships/hyperlink" Target="https://www.lcsc.com/product-detail/Schottky-Barrier-Diodes-SBD_TWGMC-SB10100L_C5240369.html" TargetMode="External"/><Relationship Id="rId18" Type="http://schemas.openxmlformats.org/officeDocument/2006/relationships/hyperlink" Target="https://www.lcsc.com/product-detail/Chip-Resistor-Surface-Mount_YAGEO-RC0402FR-0710KL_C60490.html" TargetMode="External"/><Relationship Id="rId26" Type="http://schemas.openxmlformats.org/officeDocument/2006/relationships/hyperlink" Target="https://www.lcsc.com/product-detail/Chip-Resistor-Surface-Mount_UNI-ROYAL-Uniroyal-Elec-0805W8F0000T5E_C17477.html" TargetMode="External"/><Relationship Id="rId3" Type="http://schemas.openxmlformats.org/officeDocument/2006/relationships/hyperlink" Target="https://www.lcsc.com/product-detail/Multilayer-Ceramic-Capacitors-MLCC-SMD-SMT_Murata-Electronics-GRM155R61E105KA12D_C77009.html" TargetMode="External"/><Relationship Id="rId21" Type="http://schemas.openxmlformats.org/officeDocument/2006/relationships/hyperlink" Target="https://www.lcsc.com/product-detail/Chip-Resistor-Surface-Mount_YAGEO-RC0805FR-071ML_C107700.html" TargetMode="External"/><Relationship Id="rId7" Type="http://schemas.openxmlformats.org/officeDocument/2006/relationships/hyperlink" Target="https://www.lcsc.com/product-detail/Multilayer-Ceramic-Capacitors-MLCC-SMD-SMT_Samsung-Electro-Mechanics-CL10B104KB8NNNL_C913912.html" TargetMode="External"/><Relationship Id="rId12" Type="http://schemas.openxmlformats.org/officeDocument/2006/relationships/hyperlink" Target="https://www.lcsc.com/product-detail/TVS_SMC-Sangdest-Microelectronicstronic-Nanjing-SMBJ24A_C493201.html" TargetMode="External"/><Relationship Id="rId17" Type="http://schemas.openxmlformats.org/officeDocument/2006/relationships/hyperlink" Target="https://www.lcsc.com/product-detail/Chip-Resistor-Surface-Mount_Milliohm-HoLRS3920-3W-1mR-1_C5336202.html" TargetMode="External"/><Relationship Id="rId25" Type="http://schemas.openxmlformats.org/officeDocument/2006/relationships/hyperlink" Target="https://www.lcsc.com/product-detail/Chip-Resistor-Surface-Mount_UNI-ROYAL-Uniroyal-Elec-0805W8F1002T5E_C17414.html" TargetMode="External"/><Relationship Id="rId2" Type="http://schemas.openxmlformats.org/officeDocument/2006/relationships/hyperlink" Target="https://www.lcsc.com/product-detail/Multilayer-Ceramic-Capacitors-MLCC-SMD-SMT_Taiyo-Yuden-TMK063ABJ104KP-F_C386070.html" TargetMode="External"/><Relationship Id="rId16" Type="http://schemas.openxmlformats.org/officeDocument/2006/relationships/hyperlink" Target="https://www.lcsc.com/product-detail/Chip-Resistor-Surface-Mount_YAGEO-RC0402FR-074K7L_C105871.html" TargetMode="External"/><Relationship Id="rId20" Type="http://schemas.openxmlformats.org/officeDocument/2006/relationships/hyperlink" Target="https://www.lcsc.com/product-detail/Chip-Resistor-Surface-Mount_YAGEO-RC0805FR-071KL_C95781.html" TargetMode="External"/><Relationship Id="rId29" Type="http://schemas.openxmlformats.org/officeDocument/2006/relationships/hyperlink" Target="https://www.lcsc.com/product-detail/Network-cables_DEALON-LNN125-157128-200-3P_C2998962.html" TargetMode="External"/><Relationship Id="rId1" Type="http://schemas.openxmlformats.org/officeDocument/2006/relationships/hyperlink" Target="https://www.lcsc.com/product-detail/Multilayer-Ceramic-Capacitors-MLCC-SMD-SMT_YAGEO-CC0201MRX5R7BB105_C5182464.html" TargetMode="External"/><Relationship Id="rId6" Type="http://schemas.openxmlformats.org/officeDocument/2006/relationships/hyperlink" Target="https://www.lcsc.com/product-detail/Multilayer-Ceramic-Capacitors-MLCC-SMD-SMT_YAGEO-CC0603JRNPO9BN472_C576818.html" TargetMode="External"/><Relationship Id="rId11" Type="http://schemas.openxmlformats.org/officeDocument/2006/relationships/hyperlink" Target="https://www.lcsc.com/product-detail/Switching-Diode_Diodes-Incorporated-1N4148W-7-F_C83528.html" TargetMode="External"/><Relationship Id="rId24" Type="http://schemas.openxmlformats.org/officeDocument/2006/relationships/hyperlink" Target="https://www.lcsc.com/product-detail/Ferrite-Beads_Murata-Electronics-BLM03AG601SN1D_C85811.html" TargetMode="External"/><Relationship Id="rId32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Taiyo-Yuden-EDK105BBJ475MVLF_C412302.html" TargetMode="External"/><Relationship Id="rId15" Type="http://schemas.openxmlformats.org/officeDocument/2006/relationships/hyperlink" Target="https://www.lcsc.com/product-detail/Chip-Resistor-Surface-Mount_YAGEO-AC0805FR-07100RL_C138274.html" TargetMode="External"/><Relationship Id="rId23" Type="http://schemas.openxmlformats.org/officeDocument/2006/relationships/hyperlink" Target="https://www.lcsc.com/product-detail/Microcontroller-Units-MCUs-MPUs-SOCs_Microchip-Tech-ATTINY1616-MNR_C507118.html" TargetMode="External"/><Relationship Id="rId28" Type="http://schemas.openxmlformats.org/officeDocument/2006/relationships/hyperlink" Target="https://www.lcsc.com/product-detail/Network-cables_DEALON-LDR150-100728-150-4P_C2998951.html" TargetMode="External"/><Relationship Id="rId10" Type="http://schemas.openxmlformats.org/officeDocument/2006/relationships/hyperlink" Target="https://www.lcsc.com/product-detail/Wire-To-Board-Wire-To-Wire-Connector_JST-S4B-ZR-SM4A-TF-LF-SN_C485354.html" TargetMode="External"/><Relationship Id="rId19" Type="http://schemas.openxmlformats.org/officeDocument/2006/relationships/hyperlink" Target="https://www.lcsc.com/product-detail/Chip-Resistor-Surface-Mount_YAGEO-RC0402FR-07499KL_C137971.html" TargetMode="External"/><Relationship Id="rId31" Type="http://schemas.openxmlformats.org/officeDocument/2006/relationships/hyperlink" Target="https://www.lcsc.com/product-detail/NTC-Thermistors_Nanjing-Shiheng-Elec-MF52D-103F3950-100_C394024.html" TargetMode="External"/><Relationship Id="rId4" Type="http://schemas.openxmlformats.org/officeDocument/2006/relationships/hyperlink" Target="https://www.lcsc.com/product-detail/Multilayer-Ceramic-Capacitors-MLCC-SMD-SMT_YAGEO-CC0805KKX5R9BB225_C326581.html" TargetMode="External"/><Relationship Id="rId9" Type="http://schemas.openxmlformats.org/officeDocument/2006/relationships/hyperlink" Target="https://www.lcsc.com/product-detail/Wire-To-Board-Wire-To-Wire-Connector_DEALON-1-25-3PWB_C2905010.html" TargetMode="External"/><Relationship Id="rId14" Type="http://schemas.openxmlformats.org/officeDocument/2006/relationships/hyperlink" Target="https://www.lcsc.com/product-detail/MOSFETs_Diodes-Incorporated-BSS84W-7-F_C110490.html" TargetMode="External"/><Relationship Id="rId22" Type="http://schemas.openxmlformats.org/officeDocument/2006/relationships/hyperlink" Target="https://www.lcsc.com/product-detail/Chip-Resistor-Surface-Mount_YAGEO-RC0201FR-074K7L_C138135.html" TargetMode="External"/><Relationship Id="rId27" Type="http://schemas.openxmlformats.org/officeDocument/2006/relationships/hyperlink" Target="https://www.lcsc.com/product-detail/MOSFETs_VBsemi-Elec-IPD034N06N3G-VB_C7428985.html" TargetMode="External"/><Relationship Id="rId30" Type="http://schemas.openxmlformats.org/officeDocument/2006/relationships/hyperlink" Target="https://www.lcsc.com/product-detail/Network-cables_DEALON-LDR125-157128-070-3P_C74658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6"/>
  <sheetViews>
    <sheetView tabSelected="1" topLeftCell="A25" workbookViewId="0">
      <selection activeCell="D59" sqref="D5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25.710937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186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7" t="s">
        <v>187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51</v>
      </c>
      <c r="F9" s="30" t="s">
        <v>82</v>
      </c>
      <c r="G9" s="30" t="s">
        <v>106</v>
      </c>
      <c r="H9" s="30" t="s">
        <v>132</v>
      </c>
      <c r="I9" s="30" t="s">
        <v>189</v>
      </c>
      <c r="J9" s="30" t="s">
        <v>148</v>
      </c>
      <c r="K9" s="30" t="s">
        <v>190</v>
      </c>
      <c r="L9" s="30" t="s">
        <v>185</v>
      </c>
      <c r="M9" s="30" t="s">
        <v>191</v>
      </c>
      <c r="N9" s="30" t="s">
        <v>192</v>
      </c>
      <c r="O9" s="30" t="s">
        <v>193</v>
      </c>
      <c r="P9" s="30" t="s">
        <v>194</v>
      </c>
      <c r="Q9" s="30" t="s">
        <v>195</v>
      </c>
      <c r="R9" s="30" t="s">
        <v>196</v>
      </c>
      <c r="S9" s="30" t="s">
        <v>197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20</v>
      </c>
      <c r="E10" s="37" t="s">
        <v>52</v>
      </c>
      <c r="F10" s="37" t="s">
        <v>83</v>
      </c>
      <c r="G10" s="37" t="s">
        <v>107</v>
      </c>
      <c r="H10" s="37" t="s">
        <v>133</v>
      </c>
      <c r="I10" s="37" t="s">
        <v>198</v>
      </c>
      <c r="J10" s="37" t="s">
        <v>149</v>
      </c>
      <c r="K10" s="37" t="s">
        <v>171</v>
      </c>
      <c r="L10" s="37">
        <v>1</v>
      </c>
      <c r="M10" s="37">
        <f>L10*5</f>
        <v>5</v>
      </c>
      <c r="N10" s="37">
        <v>10</v>
      </c>
      <c r="O10" s="70" t="s">
        <v>200</v>
      </c>
      <c r="P10" s="38">
        <v>3.7199999999999997E-2</v>
      </c>
      <c r="Q10" s="38">
        <f>P10*N10</f>
        <v>0.372</v>
      </c>
      <c r="R10" s="37"/>
      <c r="S10" s="50"/>
    </row>
    <row r="11" spans="1:19" x14ac:dyDescent="0.25">
      <c r="A11" s="1"/>
      <c r="B11" s="47">
        <f t="shared" ref="B11:B39" si="0">ROW(B11) - ROW($B$9)</f>
        <v>2</v>
      </c>
      <c r="C11" s="53" t="s">
        <v>9</v>
      </c>
      <c r="D11" s="51" t="s">
        <v>21</v>
      </c>
      <c r="E11" s="51" t="s">
        <v>53</v>
      </c>
      <c r="F11" s="51" t="s">
        <v>83</v>
      </c>
      <c r="G11" s="71" t="s">
        <v>108</v>
      </c>
      <c r="H11" s="51" t="s">
        <v>134</v>
      </c>
      <c r="I11" s="51" t="s">
        <v>201</v>
      </c>
      <c r="J11" s="51" t="s">
        <v>202</v>
      </c>
      <c r="K11" s="51" t="s">
        <v>172</v>
      </c>
      <c r="L11" s="51">
        <v>1</v>
      </c>
      <c r="M11" s="51">
        <f t="shared" ref="M11" si="1">L11*5</f>
        <v>5</v>
      </c>
      <c r="N11" s="51">
        <v>50</v>
      </c>
      <c r="O11" s="72" t="s">
        <v>200</v>
      </c>
      <c r="P11" s="52">
        <v>7.0000000000000001E-3</v>
      </c>
      <c r="Q11" s="52">
        <f t="shared" ref="Q11" si="2">P11*N11</f>
        <v>0.35000000000000003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37" t="s">
        <v>22</v>
      </c>
      <c r="E12" s="37" t="s">
        <v>54</v>
      </c>
      <c r="F12" s="37" t="s">
        <v>84</v>
      </c>
      <c r="G12" s="37" t="s">
        <v>109</v>
      </c>
      <c r="H12" s="37" t="s">
        <v>134</v>
      </c>
      <c r="I12" s="37" t="s">
        <v>198</v>
      </c>
      <c r="J12" s="37" t="s">
        <v>150</v>
      </c>
      <c r="K12" s="37" t="s">
        <v>171</v>
      </c>
      <c r="L12" s="37">
        <v>7</v>
      </c>
      <c r="M12" s="37">
        <f>L12*5</f>
        <v>35</v>
      </c>
      <c r="N12" s="37">
        <v>100</v>
      </c>
      <c r="O12" s="70" t="s">
        <v>200</v>
      </c>
      <c r="P12" s="38">
        <v>6.4999999999999997E-3</v>
      </c>
      <c r="Q12" s="38">
        <f>P12*N12</f>
        <v>0.65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23</v>
      </c>
      <c r="E13" s="51" t="s">
        <v>55</v>
      </c>
      <c r="F13" s="51" t="s">
        <v>85</v>
      </c>
      <c r="G13" s="51" t="s">
        <v>110</v>
      </c>
      <c r="H13" s="51" t="s">
        <v>133</v>
      </c>
      <c r="I13" s="51" t="s">
        <v>198</v>
      </c>
      <c r="J13" s="51" t="s">
        <v>151</v>
      </c>
      <c r="K13" s="51" t="s">
        <v>173</v>
      </c>
      <c r="L13" s="51">
        <v>1</v>
      </c>
      <c r="M13" s="51">
        <f t="shared" ref="M13" si="3">L13*5</f>
        <v>5</v>
      </c>
      <c r="N13" s="51">
        <v>20</v>
      </c>
      <c r="O13" s="72" t="s">
        <v>200</v>
      </c>
      <c r="P13" s="52">
        <v>2.7799999999999998E-2</v>
      </c>
      <c r="Q13" s="52">
        <f t="shared" ref="Q13" si="4">P13*N13</f>
        <v>0.55599999999999994</v>
      </c>
      <c r="R13" s="51"/>
      <c r="S13" s="59"/>
    </row>
    <row r="14" spans="1:19" ht="24" x14ac:dyDescent="0.25">
      <c r="A14" s="1"/>
      <c r="B14" s="46">
        <f>ROW(B14) - ROW($B$9)</f>
        <v>5</v>
      </c>
      <c r="C14" s="53" t="s">
        <v>9</v>
      </c>
      <c r="D14" s="37" t="s">
        <v>24</v>
      </c>
      <c r="E14" s="37" t="s">
        <v>56</v>
      </c>
      <c r="F14" s="37" t="s">
        <v>84</v>
      </c>
      <c r="G14" s="37" t="s">
        <v>111</v>
      </c>
      <c r="H14" s="37" t="s">
        <v>135</v>
      </c>
      <c r="I14" s="37" t="s">
        <v>198</v>
      </c>
      <c r="J14" s="37" t="s">
        <v>152</v>
      </c>
      <c r="K14" s="37" t="s">
        <v>174</v>
      </c>
      <c r="L14" s="37">
        <v>1</v>
      </c>
      <c r="M14" s="37">
        <f>L14*5</f>
        <v>5</v>
      </c>
      <c r="N14" s="37">
        <v>50</v>
      </c>
      <c r="O14" s="70" t="s">
        <v>200</v>
      </c>
      <c r="P14" s="38">
        <v>9.5999999999999992E-3</v>
      </c>
      <c r="Q14" s="38">
        <f>P14*N14</f>
        <v>0.48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25</v>
      </c>
      <c r="E15" s="51" t="s">
        <v>57</v>
      </c>
      <c r="F15" s="51" t="s">
        <v>86</v>
      </c>
      <c r="G15" s="51" t="s">
        <v>112</v>
      </c>
      <c r="H15" s="51" t="s">
        <v>133</v>
      </c>
      <c r="I15" s="51" t="s">
        <v>198</v>
      </c>
      <c r="J15" s="51" t="s">
        <v>153</v>
      </c>
      <c r="K15" s="51" t="s">
        <v>175</v>
      </c>
      <c r="L15" s="51">
        <v>1</v>
      </c>
      <c r="M15" s="51">
        <f t="shared" ref="M15" si="5">L15*5</f>
        <v>5</v>
      </c>
      <c r="N15" s="51">
        <v>20</v>
      </c>
      <c r="O15" s="72" t="s">
        <v>200</v>
      </c>
      <c r="P15" s="52">
        <v>1.9800000000000002E-2</v>
      </c>
      <c r="Q15" s="52">
        <f t="shared" ref="Q15" si="6">P15*N15</f>
        <v>0.39600000000000002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26</v>
      </c>
      <c r="E16" s="37" t="s">
        <v>58</v>
      </c>
      <c r="F16" s="37" t="s">
        <v>87</v>
      </c>
      <c r="G16" s="37" t="s">
        <v>113</v>
      </c>
      <c r="H16" s="37" t="s">
        <v>136</v>
      </c>
      <c r="I16" s="37" t="s">
        <v>198</v>
      </c>
      <c r="J16" s="37" t="s">
        <v>154</v>
      </c>
      <c r="K16" s="37" t="s">
        <v>172</v>
      </c>
      <c r="L16" s="37">
        <v>7</v>
      </c>
      <c r="M16" s="37">
        <f>L16*5</f>
        <v>35</v>
      </c>
      <c r="N16" s="37">
        <v>100</v>
      </c>
      <c r="O16" s="70" t="s">
        <v>200</v>
      </c>
      <c r="P16" s="38">
        <v>5.8999999999999999E-3</v>
      </c>
      <c r="Q16" s="38">
        <f>P16*N16</f>
        <v>0.59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27</v>
      </c>
      <c r="E17" s="51" t="s">
        <v>59</v>
      </c>
      <c r="F17" s="51" t="s">
        <v>86</v>
      </c>
      <c r="G17" s="51" t="s">
        <v>114</v>
      </c>
      <c r="H17" s="51" t="s">
        <v>137</v>
      </c>
      <c r="I17" s="51" t="s">
        <v>198</v>
      </c>
      <c r="J17" s="51" t="s">
        <v>155</v>
      </c>
      <c r="K17" s="51" t="s">
        <v>176</v>
      </c>
      <c r="L17" s="51">
        <v>1</v>
      </c>
      <c r="M17" s="51">
        <f t="shared" ref="M17" si="7">L17*5</f>
        <v>5</v>
      </c>
      <c r="N17" s="51">
        <v>50</v>
      </c>
      <c r="O17" s="72" t="s">
        <v>200</v>
      </c>
      <c r="P17" s="52">
        <v>3.8E-3</v>
      </c>
      <c r="Q17" s="52">
        <f t="shared" ref="Q17" si="8">P17*N17</f>
        <v>0.19</v>
      </c>
      <c r="R17" s="51"/>
      <c r="S17" s="59"/>
    </row>
    <row r="18" spans="1:19" ht="48" x14ac:dyDescent="0.25">
      <c r="A18" s="1"/>
      <c r="B18" s="46">
        <f>ROW(B18) - ROW($B$9)</f>
        <v>9</v>
      </c>
      <c r="C18" s="53" t="s">
        <v>10</v>
      </c>
      <c r="D18" s="37" t="s">
        <v>28</v>
      </c>
      <c r="E18" s="37" t="s">
        <v>60</v>
      </c>
      <c r="F18" s="37" t="s">
        <v>199</v>
      </c>
      <c r="G18" s="37" t="s">
        <v>88</v>
      </c>
      <c r="H18" s="37" t="s">
        <v>138</v>
      </c>
      <c r="I18" s="37" t="s">
        <v>198</v>
      </c>
      <c r="J18" s="37" t="s">
        <v>156</v>
      </c>
      <c r="K18" s="37" t="s">
        <v>198</v>
      </c>
      <c r="L18" s="37">
        <v>3</v>
      </c>
      <c r="M18" s="37">
        <f>L18*5</f>
        <v>15</v>
      </c>
      <c r="N18" s="37">
        <v>20</v>
      </c>
      <c r="O18" s="70" t="s">
        <v>200</v>
      </c>
      <c r="P18" s="38">
        <v>2.76E-2</v>
      </c>
      <c r="Q18" s="38">
        <f>P18*N18</f>
        <v>0.55200000000000005</v>
      </c>
      <c r="R18" s="37"/>
      <c r="S18" s="59"/>
    </row>
    <row r="19" spans="1:19" ht="25.5" x14ac:dyDescent="0.25">
      <c r="A19" s="1"/>
      <c r="B19" s="47">
        <f t="shared" si="0"/>
        <v>10</v>
      </c>
      <c r="C19" s="54" t="s">
        <v>11</v>
      </c>
      <c r="D19" s="51" t="s">
        <v>29</v>
      </c>
      <c r="E19" s="51" t="s">
        <v>61</v>
      </c>
      <c r="F19" s="51" t="s">
        <v>199</v>
      </c>
      <c r="G19" s="51" t="s">
        <v>89</v>
      </c>
      <c r="H19" s="51" t="s">
        <v>139</v>
      </c>
      <c r="I19" s="51" t="s">
        <v>198</v>
      </c>
      <c r="J19" s="51" t="s">
        <v>157</v>
      </c>
      <c r="K19" s="51" t="s">
        <v>198</v>
      </c>
      <c r="L19" s="51">
        <v>1</v>
      </c>
      <c r="M19" s="51">
        <f t="shared" ref="M19" si="9">L19*5</f>
        <v>5</v>
      </c>
      <c r="N19" s="51">
        <v>10</v>
      </c>
      <c r="O19" s="72" t="s">
        <v>200</v>
      </c>
      <c r="P19" s="52">
        <v>0.2107</v>
      </c>
      <c r="Q19" s="52">
        <f t="shared" ref="Q19" si="10">P19*N19</f>
        <v>2.1070000000000002</v>
      </c>
      <c r="R19" s="51"/>
      <c r="S19" s="59"/>
    </row>
    <row r="20" spans="1:19" x14ac:dyDescent="0.25">
      <c r="A20" s="1"/>
      <c r="B20" s="46">
        <f>ROW(B20) - ROW($B$9)</f>
        <v>11</v>
      </c>
      <c r="C20" s="53" t="s">
        <v>12</v>
      </c>
      <c r="D20" s="37" t="s">
        <v>30</v>
      </c>
      <c r="E20" s="37" t="s">
        <v>62</v>
      </c>
      <c r="F20" s="37" t="s">
        <v>90</v>
      </c>
      <c r="G20" s="37" t="s">
        <v>115</v>
      </c>
      <c r="H20" s="37" t="s">
        <v>140</v>
      </c>
      <c r="I20" s="37" t="s">
        <v>198</v>
      </c>
      <c r="J20" s="37" t="s">
        <v>158</v>
      </c>
      <c r="K20" s="37" t="s">
        <v>198</v>
      </c>
      <c r="L20" s="37">
        <v>2</v>
      </c>
      <c r="M20" s="37">
        <f>L20*5</f>
        <v>10</v>
      </c>
      <c r="N20" s="37">
        <v>50</v>
      </c>
      <c r="O20" s="70" t="s">
        <v>200</v>
      </c>
      <c r="P20" s="38">
        <v>1.21E-2</v>
      </c>
      <c r="Q20" s="38">
        <f>P20*N20</f>
        <v>0.60499999999999998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13</v>
      </c>
      <c r="D21" s="51" t="s">
        <v>31</v>
      </c>
      <c r="E21" s="51" t="s">
        <v>63</v>
      </c>
      <c r="F21" s="51" t="s">
        <v>91</v>
      </c>
      <c r="G21" s="51" t="s">
        <v>116</v>
      </c>
      <c r="H21" s="51" t="s">
        <v>141</v>
      </c>
      <c r="I21" s="51" t="s">
        <v>198</v>
      </c>
      <c r="J21" s="51" t="s">
        <v>159</v>
      </c>
      <c r="K21" s="51" t="s">
        <v>198</v>
      </c>
      <c r="L21" s="51">
        <v>1</v>
      </c>
      <c r="M21" s="51">
        <f t="shared" ref="M21" si="11">L21*5</f>
        <v>5</v>
      </c>
      <c r="N21" s="51">
        <v>10</v>
      </c>
      <c r="O21" s="72" t="s">
        <v>200</v>
      </c>
      <c r="P21" s="52">
        <v>7.4899999999999994E-2</v>
      </c>
      <c r="Q21" s="52">
        <f t="shared" ref="Q21" si="12">P21*N21</f>
        <v>0.74899999999999989</v>
      </c>
      <c r="R21" s="51"/>
      <c r="S21" s="59"/>
    </row>
    <row r="22" spans="1:19" ht="24" x14ac:dyDescent="0.25">
      <c r="A22" s="1"/>
      <c r="B22" s="46">
        <f>ROW(B22) - ROW($B$9)</f>
        <v>13</v>
      </c>
      <c r="C22" s="53" t="s">
        <v>12</v>
      </c>
      <c r="D22" s="37" t="s">
        <v>32</v>
      </c>
      <c r="E22" s="37" t="s">
        <v>64</v>
      </c>
      <c r="F22" s="37" t="s">
        <v>203</v>
      </c>
      <c r="G22" s="37" t="s">
        <v>92</v>
      </c>
      <c r="H22" s="37" t="s">
        <v>142</v>
      </c>
      <c r="I22" s="37" t="s">
        <v>198</v>
      </c>
      <c r="J22" s="37" t="s">
        <v>160</v>
      </c>
      <c r="K22" s="37" t="s">
        <v>198</v>
      </c>
      <c r="L22" s="37">
        <v>1</v>
      </c>
      <c r="M22" s="37">
        <f>L22*5</f>
        <v>5</v>
      </c>
      <c r="N22" s="37">
        <v>10</v>
      </c>
      <c r="O22" s="70" t="s">
        <v>200</v>
      </c>
      <c r="P22" s="38">
        <v>0.18240000000000001</v>
      </c>
      <c r="Q22" s="38">
        <f>P22*N22</f>
        <v>1.8240000000000001</v>
      </c>
      <c r="R22" s="37"/>
      <c r="S22" s="59"/>
    </row>
    <row r="23" spans="1:19" x14ac:dyDescent="0.25">
      <c r="A23" s="1"/>
      <c r="B23" s="47">
        <f t="shared" si="0"/>
        <v>14</v>
      </c>
      <c r="C23" s="54" t="s">
        <v>14</v>
      </c>
      <c r="D23" s="73" t="s">
        <v>33</v>
      </c>
      <c r="E23" s="73" t="s">
        <v>65</v>
      </c>
      <c r="F23" s="73" t="s">
        <v>199</v>
      </c>
      <c r="G23" s="73" t="s">
        <v>93</v>
      </c>
      <c r="H23" s="73" t="s">
        <v>198</v>
      </c>
      <c r="I23" s="73"/>
      <c r="J23" s="73" t="s">
        <v>198</v>
      </c>
      <c r="K23" s="73" t="s">
        <v>198</v>
      </c>
      <c r="L23" s="73">
        <v>6</v>
      </c>
      <c r="M23" s="73">
        <f t="shared" ref="M23" si="13">L23*5</f>
        <v>30</v>
      </c>
      <c r="N23" s="73" t="s">
        <v>198</v>
      </c>
      <c r="O23" s="73" t="s">
        <v>198</v>
      </c>
      <c r="P23" s="74" t="s">
        <v>198</v>
      </c>
      <c r="Q23" s="74" t="s">
        <v>198</v>
      </c>
      <c r="R23" s="73"/>
      <c r="S23" s="75"/>
    </row>
    <row r="24" spans="1:19" x14ac:dyDescent="0.25">
      <c r="A24" s="1"/>
      <c r="B24" s="46">
        <f>ROW(B24) - ROW($B$9)</f>
        <v>15</v>
      </c>
      <c r="C24" s="53" t="s">
        <v>188</v>
      </c>
      <c r="D24" s="37" t="s">
        <v>34</v>
      </c>
      <c r="E24" s="37" t="s">
        <v>66</v>
      </c>
      <c r="F24" s="37" t="s">
        <v>94</v>
      </c>
      <c r="G24" s="79" t="s">
        <v>117</v>
      </c>
      <c r="H24" s="37" t="s">
        <v>143</v>
      </c>
      <c r="I24" s="37" t="s">
        <v>204</v>
      </c>
      <c r="J24" s="37" t="s">
        <v>205</v>
      </c>
      <c r="K24" s="37" t="s">
        <v>198</v>
      </c>
      <c r="L24" s="37">
        <v>1</v>
      </c>
      <c r="M24" s="37">
        <f>L24*5</f>
        <v>5</v>
      </c>
      <c r="N24" s="37">
        <v>100</v>
      </c>
      <c r="O24" s="70" t="s">
        <v>200</v>
      </c>
      <c r="P24" s="38">
        <v>5.8999999999999999E-3</v>
      </c>
      <c r="Q24" s="38">
        <f>P24*N24</f>
        <v>0.59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14</v>
      </c>
      <c r="D25" s="73" t="s">
        <v>35</v>
      </c>
      <c r="E25" s="73" t="s">
        <v>65</v>
      </c>
      <c r="F25" s="73" t="s">
        <v>199</v>
      </c>
      <c r="G25" s="73" t="s">
        <v>95</v>
      </c>
      <c r="H25" s="73" t="s">
        <v>198</v>
      </c>
      <c r="I25" s="73" t="s">
        <v>198</v>
      </c>
      <c r="J25" s="73" t="s">
        <v>198</v>
      </c>
      <c r="K25" s="73" t="s">
        <v>198</v>
      </c>
      <c r="L25" s="73">
        <v>1</v>
      </c>
      <c r="M25" s="73">
        <f t="shared" ref="M25" si="14">L25*5</f>
        <v>5</v>
      </c>
      <c r="N25" s="73" t="s">
        <v>198</v>
      </c>
      <c r="O25" s="73" t="s">
        <v>198</v>
      </c>
      <c r="P25" s="74" t="s">
        <v>198</v>
      </c>
      <c r="Q25" s="74" t="s">
        <v>198</v>
      </c>
      <c r="R25" s="73"/>
      <c r="S25" s="75"/>
    </row>
    <row r="26" spans="1:19" x14ac:dyDescent="0.25">
      <c r="A26" s="1"/>
      <c r="B26" s="46">
        <f>ROW(B26) - ROW($B$9)</f>
        <v>17</v>
      </c>
      <c r="C26" s="53" t="s">
        <v>15</v>
      </c>
      <c r="D26" s="37" t="s">
        <v>36</v>
      </c>
      <c r="E26" s="37" t="s">
        <v>67</v>
      </c>
      <c r="F26" s="37" t="s">
        <v>96</v>
      </c>
      <c r="G26" s="37" t="s">
        <v>118</v>
      </c>
      <c r="H26" s="37" t="s">
        <v>144</v>
      </c>
      <c r="I26" s="37"/>
      <c r="J26" s="37" t="s">
        <v>209</v>
      </c>
      <c r="K26" s="37" t="s">
        <v>198</v>
      </c>
      <c r="L26" s="37">
        <v>2</v>
      </c>
      <c r="M26" s="37">
        <f>L26*5</f>
        <v>10</v>
      </c>
      <c r="N26" s="37">
        <v>11</v>
      </c>
      <c r="O26" s="70" t="s">
        <v>200</v>
      </c>
      <c r="P26" s="38">
        <v>0.82410000000000005</v>
      </c>
      <c r="Q26" s="38">
        <f>P26*N26</f>
        <v>9.065100000000001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15</v>
      </c>
      <c r="D27" s="51" t="s">
        <v>37</v>
      </c>
      <c r="E27" s="51" t="s">
        <v>68</v>
      </c>
      <c r="F27" s="51" t="s">
        <v>97</v>
      </c>
      <c r="G27" s="51" t="s">
        <v>119</v>
      </c>
      <c r="H27" s="51" t="s">
        <v>140</v>
      </c>
      <c r="I27" s="51" t="s">
        <v>198</v>
      </c>
      <c r="J27" s="51" t="s">
        <v>161</v>
      </c>
      <c r="K27" s="51" t="s">
        <v>198</v>
      </c>
      <c r="L27" s="51">
        <v>1</v>
      </c>
      <c r="M27" s="51">
        <f t="shared" ref="M27" si="15">L27*5</f>
        <v>5</v>
      </c>
      <c r="N27" s="51">
        <v>10</v>
      </c>
      <c r="O27" s="72" t="s">
        <v>200</v>
      </c>
      <c r="P27" s="52">
        <v>3.5700000000000003E-2</v>
      </c>
      <c r="Q27" s="52">
        <f t="shared" ref="Q27" si="16">P27*N27</f>
        <v>0.35700000000000004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16</v>
      </c>
      <c r="D28" s="37" t="s">
        <v>38</v>
      </c>
      <c r="E28" s="37" t="s">
        <v>69</v>
      </c>
      <c r="F28" s="37" t="s">
        <v>98</v>
      </c>
      <c r="G28" s="37" t="s">
        <v>120</v>
      </c>
      <c r="H28" s="37" t="s">
        <v>133</v>
      </c>
      <c r="I28" s="37" t="s">
        <v>198</v>
      </c>
      <c r="J28" s="37" t="s">
        <v>162</v>
      </c>
      <c r="K28" s="37" t="s">
        <v>177</v>
      </c>
      <c r="L28" s="37">
        <v>9</v>
      </c>
      <c r="M28" s="37">
        <f>L28*5</f>
        <v>45</v>
      </c>
      <c r="N28" s="37">
        <v>100</v>
      </c>
      <c r="O28" s="70" t="s">
        <v>200</v>
      </c>
      <c r="P28" s="38">
        <v>4.1000000000000003E-3</v>
      </c>
      <c r="Q28" s="38">
        <f>P28*N28</f>
        <v>0.41000000000000003</v>
      </c>
      <c r="R28" s="37"/>
      <c r="S28" s="59"/>
    </row>
    <row r="29" spans="1:19" x14ac:dyDescent="0.25">
      <c r="A29" s="1"/>
      <c r="B29" s="47">
        <f t="shared" si="0"/>
        <v>20</v>
      </c>
      <c r="C29" s="54" t="s">
        <v>16</v>
      </c>
      <c r="D29" s="51" t="s">
        <v>39</v>
      </c>
      <c r="E29" s="51" t="s">
        <v>70</v>
      </c>
      <c r="F29" s="51" t="s">
        <v>98</v>
      </c>
      <c r="G29" s="71" t="s">
        <v>121</v>
      </c>
      <c r="H29" s="51" t="s">
        <v>133</v>
      </c>
      <c r="I29" s="51" t="s">
        <v>198</v>
      </c>
      <c r="J29" s="51" t="s">
        <v>206</v>
      </c>
      <c r="K29" s="51" t="s">
        <v>178</v>
      </c>
      <c r="L29" s="51">
        <v>1</v>
      </c>
      <c r="M29" s="51">
        <f t="shared" ref="M29" si="17">L29*5</f>
        <v>5</v>
      </c>
      <c r="N29" s="51">
        <v>100</v>
      </c>
      <c r="O29" s="72" t="s">
        <v>200</v>
      </c>
      <c r="P29" s="52">
        <v>1.4E-3</v>
      </c>
      <c r="Q29" s="52">
        <f t="shared" ref="Q29" si="18">P29*N29</f>
        <v>0.13999999999999999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16</v>
      </c>
      <c r="D30" s="37" t="s">
        <v>40</v>
      </c>
      <c r="E30" s="37" t="s">
        <v>71</v>
      </c>
      <c r="F30" s="37" t="s">
        <v>99</v>
      </c>
      <c r="G30" s="37" t="s">
        <v>122</v>
      </c>
      <c r="H30" s="37" t="s">
        <v>133</v>
      </c>
      <c r="I30" s="37" t="s">
        <v>198</v>
      </c>
      <c r="J30" s="37" t="s">
        <v>163</v>
      </c>
      <c r="K30" s="37" t="s">
        <v>179</v>
      </c>
      <c r="L30" s="37">
        <v>5</v>
      </c>
      <c r="M30" s="37">
        <f>L30*5</f>
        <v>25</v>
      </c>
      <c r="N30" s="37">
        <v>100</v>
      </c>
      <c r="O30" s="70" t="s">
        <v>200</v>
      </c>
      <c r="P30" s="38">
        <v>6.9999999999999999E-4</v>
      </c>
      <c r="Q30" s="38">
        <f>P30*N30</f>
        <v>6.9999999999999993E-2</v>
      </c>
      <c r="R30" s="37"/>
      <c r="S30" s="59"/>
    </row>
    <row r="31" spans="1:19" ht="24" x14ac:dyDescent="0.25">
      <c r="A31" s="1"/>
      <c r="B31" s="47">
        <f t="shared" si="0"/>
        <v>22</v>
      </c>
      <c r="C31" s="54" t="s">
        <v>16</v>
      </c>
      <c r="D31" s="51" t="s">
        <v>41</v>
      </c>
      <c r="E31" s="51" t="s">
        <v>72</v>
      </c>
      <c r="F31" s="51" t="s">
        <v>100</v>
      </c>
      <c r="G31" s="51" t="s">
        <v>123</v>
      </c>
      <c r="H31" s="51" t="s">
        <v>145</v>
      </c>
      <c r="I31" s="51" t="s">
        <v>198</v>
      </c>
      <c r="J31" s="51" t="s">
        <v>164</v>
      </c>
      <c r="K31" s="51" t="s">
        <v>180</v>
      </c>
      <c r="L31" s="51">
        <v>1</v>
      </c>
      <c r="M31" s="51">
        <f t="shared" ref="M31" si="19">L31*5</f>
        <v>5</v>
      </c>
      <c r="N31" s="51">
        <v>10</v>
      </c>
      <c r="O31" s="72" t="s">
        <v>200</v>
      </c>
      <c r="P31" s="52">
        <v>0.20680000000000001</v>
      </c>
      <c r="Q31" s="52">
        <f t="shared" ref="Q31" si="20">P31*N31</f>
        <v>2.0680000000000001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16</v>
      </c>
      <c r="D32" s="37" t="s">
        <v>42</v>
      </c>
      <c r="E32" s="37" t="s">
        <v>73</v>
      </c>
      <c r="F32" s="37" t="s">
        <v>99</v>
      </c>
      <c r="G32" s="37" t="s">
        <v>124</v>
      </c>
      <c r="H32" s="37" t="s">
        <v>133</v>
      </c>
      <c r="I32" s="37" t="s">
        <v>198</v>
      </c>
      <c r="J32" s="37" t="s">
        <v>165</v>
      </c>
      <c r="K32" s="37" t="s">
        <v>178</v>
      </c>
      <c r="L32" s="37">
        <v>1</v>
      </c>
      <c r="M32" s="37">
        <f>L32*5</f>
        <v>5</v>
      </c>
      <c r="N32" s="37">
        <v>100</v>
      </c>
      <c r="O32" s="70" t="s">
        <v>200</v>
      </c>
      <c r="P32" s="38">
        <v>5.9999999999999995E-4</v>
      </c>
      <c r="Q32" s="38">
        <f>P32*N32</f>
        <v>0.06</v>
      </c>
      <c r="R32" s="37"/>
      <c r="S32" s="59"/>
    </row>
    <row r="33" spans="1:19" x14ac:dyDescent="0.25">
      <c r="A33" s="1"/>
      <c r="B33" s="47">
        <f t="shared" si="0"/>
        <v>24</v>
      </c>
      <c r="C33" s="53" t="s">
        <v>16</v>
      </c>
      <c r="D33" s="51" t="s">
        <v>43</v>
      </c>
      <c r="E33" s="51" t="s">
        <v>74</v>
      </c>
      <c r="F33" s="51" t="s">
        <v>99</v>
      </c>
      <c r="G33" s="51" t="s">
        <v>125</v>
      </c>
      <c r="H33" s="51" t="s">
        <v>133</v>
      </c>
      <c r="I33" s="51" t="s">
        <v>198</v>
      </c>
      <c r="J33" s="51" t="s">
        <v>166</v>
      </c>
      <c r="K33" s="51" t="s">
        <v>181</v>
      </c>
      <c r="L33" s="51">
        <v>1</v>
      </c>
      <c r="M33" s="51">
        <f t="shared" ref="M33" si="21">L33*5</f>
        <v>5</v>
      </c>
      <c r="N33" s="51">
        <v>100</v>
      </c>
      <c r="O33" s="72" t="s">
        <v>200</v>
      </c>
      <c r="P33" s="52">
        <v>6.9999999999999999E-4</v>
      </c>
      <c r="Q33" s="52">
        <f t="shared" ref="Q33" si="22">P33*N33</f>
        <v>6.9999999999999993E-2</v>
      </c>
      <c r="R33" s="51"/>
      <c r="S33" s="59"/>
    </row>
    <row r="34" spans="1:19" x14ac:dyDescent="0.25">
      <c r="A34" s="1"/>
      <c r="B34" s="46">
        <f>ROW(B34) - ROW($B$9)</f>
        <v>25</v>
      </c>
      <c r="C34" s="53" t="s">
        <v>16</v>
      </c>
      <c r="D34" s="37" t="s">
        <v>44</v>
      </c>
      <c r="E34" s="37" t="s">
        <v>75</v>
      </c>
      <c r="F34" s="37" t="s">
        <v>98</v>
      </c>
      <c r="G34" s="37" t="s">
        <v>126</v>
      </c>
      <c r="H34" s="37" t="s">
        <v>133</v>
      </c>
      <c r="I34" s="37" t="s">
        <v>198</v>
      </c>
      <c r="J34" s="37" t="s">
        <v>167</v>
      </c>
      <c r="K34" s="37" t="s">
        <v>182</v>
      </c>
      <c r="L34" s="37">
        <v>1</v>
      </c>
      <c r="M34" s="37">
        <f>L34*5</f>
        <v>5</v>
      </c>
      <c r="N34" s="37">
        <v>100</v>
      </c>
      <c r="O34" s="70" t="s">
        <v>200</v>
      </c>
      <c r="P34" s="38">
        <v>2.2000000000000001E-3</v>
      </c>
      <c r="Q34" s="38">
        <f>P34*N34</f>
        <v>0.22</v>
      </c>
      <c r="R34" s="37"/>
      <c r="S34" s="59"/>
    </row>
    <row r="35" spans="1:19" x14ac:dyDescent="0.25">
      <c r="A35" s="1"/>
      <c r="B35" s="47">
        <f t="shared" si="0"/>
        <v>26</v>
      </c>
      <c r="C35" s="54" t="s">
        <v>16</v>
      </c>
      <c r="D35" s="51" t="s">
        <v>45</v>
      </c>
      <c r="E35" s="51" t="s">
        <v>76</v>
      </c>
      <c r="F35" s="51" t="s">
        <v>98</v>
      </c>
      <c r="G35" s="51" t="s">
        <v>127</v>
      </c>
      <c r="H35" s="51" t="s">
        <v>133</v>
      </c>
      <c r="I35" s="51" t="s">
        <v>198</v>
      </c>
      <c r="J35" s="51" t="s">
        <v>168</v>
      </c>
      <c r="K35" s="51" t="s">
        <v>183</v>
      </c>
      <c r="L35" s="51">
        <v>3</v>
      </c>
      <c r="M35" s="51">
        <f t="shared" ref="M35" si="23">L35*5</f>
        <v>15</v>
      </c>
      <c r="N35" s="51">
        <v>100</v>
      </c>
      <c r="O35" s="72" t="s">
        <v>200</v>
      </c>
      <c r="P35" s="52">
        <v>2.2000000000000001E-3</v>
      </c>
      <c r="Q35" s="52">
        <f t="shared" ref="Q35" si="24">P35*N35</f>
        <v>0.22</v>
      </c>
      <c r="R35" s="51"/>
      <c r="S35" s="59"/>
    </row>
    <row r="36" spans="1:19" x14ac:dyDescent="0.25">
      <c r="A36" s="1"/>
      <c r="B36" s="46">
        <f>ROW(B36) - ROW($B$9)</f>
        <v>27</v>
      </c>
      <c r="C36" s="53" t="s">
        <v>16</v>
      </c>
      <c r="D36" s="37" t="s">
        <v>46</v>
      </c>
      <c r="E36" s="37" t="s">
        <v>77</v>
      </c>
      <c r="F36" s="37" t="s">
        <v>101</v>
      </c>
      <c r="G36" s="79" t="s">
        <v>128</v>
      </c>
      <c r="H36" s="37" t="s">
        <v>133</v>
      </c>
      <c r="I36" s="37" t="s">
        <v>207</v>
      </c>
      <c r="J36" s="37" t="s">
        <v>208</v>
      </c>
      <c r="K36" s="37" t="s">
        <v>184</v>
      </c>
      <c r="L36" s="37">
        <v>1</v>
      </c>
      <c r="M36" s="37">
        <f>L36*5</f>
        <v>5</v>
      </c>
      <c r="N36" s="37">
        <v>100</v>
      </c>
      <c r="O36" s="70" t="s">
        <v>200</v>
      </c>
      <c r="P36" s="38">
        <v>1.6999999999999999E-3</v>
      </c>
      <c r="Q36" s="38">
        <f>P36*N36</f>
        <v>0.16999999999999998</v>
      </c>
      <c r="R36" s="37"/>
      <c r="S36" s="59"/>
    </row>
    <row r="37" spans="1:19" x14ac:dyDescent="0.25">
      <c r="A37" s="1"/>
      <c r="B37" s="47">
        <f t="shared" si="0"/>
        <v>28</v>
      </c>
      <c r="C37" s="54" t="s">
        <v>16</v>
      </c>
      <c r="D37" s="51" t="s">
        <v>47</v>
      </c>
      <c r="E37" s="51" t="s">
        <v>78</v>
      </c>
      <c r="F37" s="51" t="s">
        <v>102</v>
      </c>
      <c r="G37" s="51" t="s">
        <v>129</v>
      </c>
      <c r="H37" s="51" t="s">
        <v>133</v>
      </c>
      <c r="I37" s="51" t="s">
        <v>198</v>
      </c>
      <c r="J37" s="51" t="s">
        <v>169</v>
      </c>
      <c r="K37" s="51" t="s">
        <v>179</v>
      </c>
      <c r="L37" s="51">
        <v>4</v>
      </c>
      <c r="M37" s="51">
        <f t="shared" ref="M37" si="25">L37*5</f>
        <v>20</v>
      </c>
      <c r="N37" s="51">
        <v>100</v>
      </c>
      <c r="O37" s="72" t="s">
        <v>200</v>
      </c>
      <c r="P37" s="52">
        <v>8.9999999999999998E-4</v>
      </c>
      <c r="Q37" s="52">
        <f t="shared" ref="Q37" si="26">P37*N37</f>
        <v>0.09</v>
      </c>
      <c r="R37" s="51"/>
      <c r="S37" s="59"/>
    </row>
    <row r="38" spans="1:19" x14ac:dyDescent="0.25">
      <c r="A38" s="1"/>
      <c r="B38" s="46">
        <f>ROW(B38) - ROW($B$9)</f>
        <v>29</v>
      </c>
      <c r="C38" s="53" t="s">
        <v>17</v>
      </c>
      <c r="D38" s="76" t="s">
        <v>48</v>
      </c>
      <c r="E38" s="76" t="s">
        <v>79</v>
      </c>
      <c r="F38" s="76" t="s">
        <v>199</v>
      </c>
      <c r="G38" s="76" t="s">
        <v>103</v>
      </c>
      <c r="H38" s="76" t="s">
        <v>198</v>
      </c>
      <c r="I38" s="76" t="s">
        <v>198</v>
      </c>
      <c r="J38" s="76" t="s">
        <v>198</v>
      </c>
      <c r="K38" s="76" t="s">
        <v>198</v>
      </c>
      <c r="L38" s="76">
        <v>7</v>
      </c>
      <c r="M38" s="76">
        <f>L38*5</f>
        <v>35</v>
      </c>
      <c r="N38" s="76" t="s">
        <v>198</v>
      </c>
      <c r="O38" s="76" t="s">
        <v>198</v>
      </c>
      <c r="P38" s="77" t="s">
        <v>198</v>
      </c>
      <c r="Q38" s="77" t="s">
        <v>198</v>
      </c>
      <c r="R38" s="76"/>
      <c r="S38" s="75"/>
    </row>
    <row r="39" spans="1:19" x14ac:dyDescent="0.25">
      <c r="A39" s="1"/>
      <c r="B39" s="47">
        <f t="shared" si="0"/>
        <v>30</v>
      </c>
      <c r="C39" s="54" t="s">
        <v>18</v>
      </c>
      <c r="D39" s="51" t="s">
        <v>49</v>
      </c>
      <c r="E39" s="51" t="s">
        <v>80</v>
      </c>
      <c r="F39" s="51" t="s">
        <v>104</v>
      </c>
      <c r="G39" s="51" t="s">
        <v>130</v>
      </c>
      <c r="H39" s="51" t="s">
        <v>146</v>
      </c>
      <c r="I39" s="51" t="s">
        <v>198</v>
      </c>
      <c r="J39" s="51" t="s">
        <v>198</v>
      </c>
      <c r="K39" s="51" t="s">
        <v>198</v>
      </c>
      <c r="L39" s="51">
        <v>1</v>
      </c>
      <c r="M39" s="51">
        <f t="shared" ref="M39" si="27">L39*5</f>
        <v>5</v>
      </c>
      <c r="N39" s="51"/>
      <c r="O39" s="51"/>
      <c r="P39" s="52"/>
      <c r="Q39" s="52">
        <f t="shared" ref="Q39" si="28">P39*N39</f>
        <v>0</v>
      </c>
      <c r="R39" s="51"/>
      <c r="S39" s="59"/>
    </row>
    <row r="40" spans="1:19" ht="15.75" thickBot="1" x14ac:dyDescent="0.3">
      <c r="A40" s="1"/>
      <c r="B40" s="46">
        <f>ROW(B40) - ROW($B$9)</f>
        <v>31</v>
      </c>
      <c r="C40" s="53" t="s">
        <v>18</v>
      </c>
      <c r="D40" s="37" t="s">
        <v>50</v>
      </c>
      <c r="E40" s="37" t="s">
        <v>81</v>
      </c>
      <c r="F40" s="37" t="s">
        <v>105</v>
      </c>
      <c r="G40" s="37" t="s">
        <v>131</v>
      </c>
      <c r="H40" s="37" t="s">
        <v>147</v>
      </c>
      <c r="I40" s="37" t="s">
        <v>198</v>
      </c>
      <c r="J40" s="37" t="s">
        <v>170</v>
      </c>
      <c r="K40" s="37" t="s">
        <v>198</v>
      </c>
      <c r="L40" s="37">
        <v>1</v>
      </c>
      <c r="M40" s="37">
        <f>L40*5</f>
        <v>5</v>
      </c>
      <c r="N40" s="37">
        <v>6</v>
      </c>
      <c r="O40" s="70" t="s">
        <v>200</v>
      </c>
      <c r="P40" s="38">
        <v>0.89780000000000004</v>
      </c>
      <c r="Q40" s="38">
        <f>P40*N40</f>
        <v>5.3868</v>
      </c>
      <c r="R40" s="37"/>
      <c r="S40" s="39"/>
    </row>
    <row r="41" spans="1:19" ht="15.75" thickBot="1" x14ac:dyDescent="0.3">
      <c r="A41" s="1"/>
      <c r="B41" s="46">
        <f t="shared" ref="B41:B44" si="29">ROW(B41) - ROW($B$9)</f>
        <v>32</v>
      </c>
      <c r="C41" s="53" t="s">
        <v>216</v>
      </c>
      <c r="D41" s="37" t="s">
        <v>198</v>
      </c>
      <c r="E41" s="37" t="s">
        <v>218</v>
      </c>
      <c r="F41" s="37" t="s">
        <v>199</v>
      </c>
      <c r="G41" s="37" t="s">
        <v>217</v>
      </c>
      <c r="H41" s="37" t="s">
        <v>219</v>
      </c>
      <c r="I41" s="37" t="s">
        <v>198</v>
      </c>
      <c r="J41" s="37" t="s">
        <v>220</v>
      </c>
      <c r="K41" s="37" t="s">
        <v>198</v>
      </c>
      <c r="L41" s="37">
        <v>1</v>
      </c>
      <c r="M41" s="37">
        <v>2</v>
      </c>
      <c r="N41" s="37">
        <v>5</v>
      </c>
      <c r="O41" s="70" t="s">
        <v>200</v>
      </c>
      <c r="P41" s="38">
        <v>9.3100000000000002E-2</v>
      </c>
      <c r="Q41" s="38">
        <f>P41*N41</f>
        <v>0.46550000000000002</v>
      </c>
      <c r="R41" s="37"/>
      <c r="S41" s="39"/>
    </row>
    <row r="42" spans="1:19" ht="15.75" thickBot="1" x14ac:dyDescent="0.3">
      <c r="A42" s="1"/>
      <c r="B42" s="46">
        <f t="shared" si="29"/>
        <v>33</v>
      </c>
      <c r="C42" s="53" t="s">
        <v>216</v>
      </c>
      <c r="D42" s="37" t="s">
        <v>198</v>
      </c>
      <c r="E42" s="37" t="s">
        <v>223</v>
      </c>
      <c r="F42" s="37" t="s">
        <v>199</v>
      </c>
      <c r="G42" s="37" t="s">
        <v>221</v>
      </c>
      <c r="H42" s="37" t="s">
        <v>219</v>
      </c>
      <c r="I42" s="37" t="s">
        <v>198</v>
      </c>
      <c r="J42" s="37" t="s">
        <v>222</v>
      </c>
      <c r="K42" s="37" t="s">
        <v>198</v>
      </c>
      <c r="L42" s="37">
        <v>1</v>
      </c>
      <c r="M42" s="37">
        <v>2</v>
      </c>
      <c r="N42" s="37">
        <v>5</v>
      </c>
      <c r="O42" s="70" t="s">
        <v>200</v>
      </c>
      <c r="P42" s="38">
        <v>5.16E-2</v>
      </c>
      <c r="Q42" s="38">
        <f t="shared" ref="Q42:Q44" si="30">P42*N42</f>
        <v>0.25800000000000001</v>
      </c>
      <c r="R42" s="37"/>
      <c r="S42" s="39"/>
    </row>
    <row r="43" spans="1:19" ht="15.75" thickBot="1" x14ac:dyDescent="0.3">
      <c r="A43" s="1"/>
      <c r="B43" s="46">
        <f t="shared" si="29"/>
        <v>34</v>
      </c>
      <c r="C43" s="53" t="s">
        <v>216</v>
      </c>
      <c r="D43" s="37" t="s">
        <v>198</v>
      </c>
      <c r="E43" s="37" t="s">
        <v>224</v>
      </c>
      <c r="F43" s="37" t="s">
        <v>199</v>
      </c>
      <c r="G43" s="37" t="s">
        <v>225</v>
      </c>
      <c r="H43" s="37" t="s">
        <v>219</v>
      </c>
      <c r="I43" s="37" t="s">
        <v>198</v>
      </c>
      <c r="J43" s="37" t="s">
        <v>226</v>
      </c>
      <c r="K43" s="37" t="s">
        <v>198</v>
      </c>
      <c r="L43" s="37">
        <v>2</v>
      </c>
      <c r="M43" s="37">
        <v>2</v>
      </c>
      <c r="N43" s="37">
        <v>5</v>
      </c>
      <c r="O43" s="70" t="s">
        <v>200</v>
      </c>
      <c r="P43" s="38">
        <v>6.4899999999999999E-2</v>
      </c>
      <c r="Q43" s="38">
        <f t="shared" si="30"/>
        <v>0.32450000000000001</v>
      </c>
      <c r="R43" s="37"/>
      <c r="S43" s="39"/>
    </row>
    <row r="44" spans="1:19" ht="24.75" thickBot="1" x14ac:dyDescent="0.3">
      <c r="A44" s="1"/>
      <c r="B44" s="46">
        <f t="shared" si="29"/>
        <v>35</v>
      </c>
      <c r="C44" s="53" t="s">
        <v>216</v>
      </c>
      <c r="D44" s="37" t="s">
        <v>198</v>
      </c>
      <c r="E44" s="37" t="s">
        <v>229</v>
      </c>
      <c r="F44" s="37" t="s">
        <v>199</v>
      </c>
      <c r="G44" s="37" t="s">
        <v>227</v>
      </c>
      <c r="H44" s="37" t="s">
        <v>228</v>
      </c>
      <c r="I44" s="37" t="s">
        <v>198</v>
      </c>
      <c r="J44" s="37" t="s">
        <v>230</v>
      </c>
      <c r="K44" s="37" t="s">
        <v>198</v>
      </c>
      <c r="L44" s="37">
        <v>1</v>
      </c>
      <c r="M44" s="37">
        <v>2</v>
      </c>
      <c r="N44" s="37">
        <v>5</v>
      </c>
      <c r="O44" s="70" t="s">
        <v>200</v>
      </c>
      <c r="P44" s="38">
        <v>8.4000000000000005E-2</v>
      </c>
      <c r="Q44" s="38">
        <f t="shared" si="30"/>
        <v>0.42000000000000004</v>
      </c>
      <c r="R44" s="37"/>
      <c r="S44" s="39"/>
    </row>
    <row r="45" spans="1:19" ht="19.5" thickBot="1" x14ac:dyDescent="0.3">
      <c r="A45" s="1"/>
      <c r="B45" s="40"/>
      <c r="C45" s="41"/>
      <c r="D45" s="42"/>
      <c r="E45" s="43"/>
      <c r="F45" s="44"/>
      <c r="G45" s="45"/>
      <c r="H45" s="44"/>
      <c r="I45" s="45"/>
      <c r="J45" s="44"/>
      <c r="K45" s="45"/>
      <c r="L45" s="45"/>
      <c r="M45" s="45"/>
      <c r="N45" s="68" t="s">
        <v>5</v>
      </c>
      <c r="O45" s="69"/>
      <c r="P45" s="69"/>
      <c r="Q45" s="48">
        <f>SUM(Q10:Q44)</f>
        <v>29.805900000000001</v>
      </c>
      <c r="R45" s="64"/>
      <c r="S45" s="65"/>
    </row>
    <row r="46" spans="1:19" ht="19.5" thickBot="1" x14ac:dyDescent="0.3">
      <c r="A46" s="1"/>
      <c r="B46" s="25"/>
      <c r="C46" s="36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68" t="s">
        <v>6</v>
      </c>
      <c r="O46" s="69"/>
      <c r="P46" s="69"/>
      <c r="Q46" s="49">
        <f>Q45/5</f>
        <v>5.9611800000000006</v>
      </c>
      <c r="R46" s="66"/>
      <c r="S46" s="67"/>
    </row>
  </sheetData>
  <mergeCells count="5">
    <mergeCell ref="K1:S1"/>
    <mergeCell ref="S3:S8"/>
    <mergeCell ref="R45:S46"/>
    <mergeCell ref="N45:P45"/>
    <mergeCell ref="N46:P46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7" r:id="rId14"/>
    <hyperlink ref="O28" r:id="rId15"/>
    <hyperlink ref="O30" r:id="rId16"/>
    <hyperlink ref="O31" r:id="rId17"/>
    <hyperlink ref="O32" r:id="rId18"/>
    <hyperlink ref="O33" r:id="rId19"/>
    <hyperlink ref="O34" r:id="rId20"/>
    <hyperlink ref="O35" r:id="rId21"/>
    <hyperlink ref="O37" r:id="rId22"/>
    <hyperlink ref="O40" r:id="rId23"/>
    <hyperlink ref="O24" r:id="rId24"/>
    <hyperlink ref="O29" r:id="rId25"/>
    <hyperlink ref="O36" r:id="rId26"/>
    <hyperlink ref="O26" r:id="rId27"/>
    <hyperlink ref="O41" r:id="rId28"/>
    <hyperlink ref="O42" r:id="rId29"/>
    <hyperlink ref="O43" r:id="rId30"/>
    <hyperlink ref="O44" r:id="rId31"/>
  </hyperlinks>
  <pageMargins left="0.7" right="0.7" top="0.75" bottom="0.75" header="0.3" footer="0.3"/>
  <pageSetup paperSize="9" orientation="portrait" r:id="rId32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opLeftCell="A37" workbookViewId="0">
      <selection activeCell="Q46" sqref="Q46"/>
    </sheetView>
  </sheetViews>
  <sheetFormatPr defaultRowHeight="15" x14ac:dyDescent="0.25"/>
  <cols>
    <col min="2" max="2" width="3" bestFit="1" customWidth="1"/>
    <col min="3" max="3" width="17.28515625" customWidth="1"/>
    <col min="4" max="4" width="31.140625" bestFit="1" customWidth="1"/>
    <col min="5" max="5" width="25" customWidth="1"/>
    <col min="6" max="6" width="13.140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2.42578125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186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7" t="s">
        <v>187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51</v>
      </c>
      <c r="F9" s="30" t="s">
        <v>82</v>
      </c>
      <c r="G9" s="30" t="s">
        <v>106</v>
      </c>
      <c r="H9" s="30" t="s">
        <v>132</v>
      </c>
      <c r="I9" s="30" t="s">
        <v>189</v>
      </c>
      <c r="J9" s="30" t="s">
        <v>148</v>
      </c>
      <c r="K9" s="30" t="s">
        <v>190</v>
      </c>
      <c r="L9" s="30" t="s">
        <v>185</v>
      </c>
      <c r="M9" s="30" t="s">
        <v>210</v>
      </c>
      <c r="N9" s="30" t="s">
        <v>211</v>
      </c>
      <c r="O9" s="30" t="s">
        <v>193</v>
      </c>
      <c r="P9" s="30" t="s">
        <v>212</v>
      </c>
      <c r="Q9" s="30" t="s">
        <v>213</v>
      </c>
      <c r="R9" s="30" t="s">
        <v>196</v>
      </c>
      <c r="S9" s="30" t="s">
        <v>197</v>
      </c>
    </row>
    <row r="10" spans="1:19" s="82" customFormat="1" x14ac:dyDescent="0.25">
      <c r="A10" s="80"/>
      <c r="B10" s="46">
        <f>ROW(B10) - ROW($B$9)</f>
        <v>1</v>
      </c>
      <c r="C10" s="53" t="s">
        <v>9</v>
      </c>
      <c r="D10" s="37" t="s">
        <v>20</v>
      </c>
      <c r="E10" s="37" t="s">
        <v>52</v>
      </c>
      <c r="F10" s="37" t="s">
        <v>83</v>
      </c>
      <c r="G10" s="37" t="s">
        <v>107</v>
      </c>
      <c r="H10" s="37" t="s">
        <v>133</v>
      </c>
      <c r="I10" s="37" t="s">
        <v>198</v>
      </c>
      <c r="J10" s="37" t="s">
        <v>149</v>
      </c>
      <c r="K10" s="37" t="s">
        <v>171</v>
      </c>
      <c r="L10" s="37">
        <v>1</v>
      </c>
      <c r="M10" s="37">
        <f>L10*10</f>
        <v>10</v>
      </c>
      <c r="N10" s="37">
        <v>20</v>
      </c>
      <c r="O10" s="70" t="s">
        <v>200</v>
      </c>
      <c r="P10" s="38">
        <v>3.7199999999999997E-2</v>
      </c>
      <c r="Q10" s="38">
        <f>P10*N10</f>
        <v>0.74399999999999999</v>
      </c>
      <c r="R10" s="37"/>
      <c r="S10" s="81"/>
    </row>
    <row r="11" spans="1:19" s="82" customFormat="1" x14ac:dyDescent="0.25">
      <c r="A11" s="80"/>
      <c r="B11" s="47">
        <f t="shared" ref="B11:B39" si="0">ROW(B11) - ROW($B$9)</f>
        <v>2</v>
      </c>
      <c r="C11" s="53" t="s">
        <v>9</v>
      </c>
      <c r="D11" s="51" t="s">
        <v>21</v>
      </c>
      <c r="E11" s="51" t="s">
        <v>53</v>
      </c>
      <c r="F11" s="51" t="s">
        <v>83</v>
      </c>
      <c r="G11" s="71" t="s">
        <v>108</v>
      </c>
      <c r="H11" s="51" t="s">
        <v>134</v>
      </c>
      <c r="I11" s="51" t="s">
        <v>201</v>
      </c>
      <c r="J11" s="51" t="s">
        <v>202</v>
      </c>
      <c r="K11" s="51" t="s">
        <v>172</v>
      </c>
      <c r="L11" s="51">
        <v>1</v>
      </c>
      <c r="M11" s="37">
        <f t="shared" ref="M11:M44" si="1">L11*10</f>
        <v>10</v>
      </c>
      <c r="N11" s="51">
        <v>50</v>
      </c>
      <c r="O11" s="72" t="s">
        <v>200</v>
      </c>
      <c r="P11" s="52">
        <v>7.0000000000000001E-3</v>
      </c>
      <c r="Q11" s="52">
        <f t="shared" ref="Q11" si="2">P11*N11</f>
        <v>0.35000000000000003</v>
      </c>
      <c r="R11" s="51"/>
      <c r="S11" s="51"/>
    </row>
    <row r="12" spans="1:19" s="82" customFormat="1" x14ac:dyDescent="0.25">
      <c r="A12" s="80"/>
      <c r="B12" s="46">
        <f>ROW(B12) - ROW($B$9)</f>
        <v>3</v>
      </c>
      <c r="C12" s="53" t="s">
        <v>9</v>
      </c>
      <c r="D12" s="37" t="s">
        <v>22</v>
      </c>
      <c r="E12" s="37" t="s">
        <v>54</v>
      </c>
      <c r="F12" s="37" t="s">
        <v>84</v>
      </c>
      <c r="G12" s="37" t="s">
        <v>109</v>
      </c>
      <c r="H12" s="37" t="s">
        <v>134</v>
      </c>
      <c r="I12" s="37" t="s">
        <v>198</v>
      </c>
      <c r="J12" s="37" t="s">
        <v>150</v>
      </c>
      <c r="K12" s="37" t="s">
        <v>171</v>
      </c>
      <c r="L12" s="37">
        <v>7</v>
      </c>
      <c r="M12" s="37">
        <f t="shared" si="1"/>
        <v>70</v>
      </c>
      <c r="N12" s="37">
        <v>100</v>
      </c>
      <c r="O12" s="70" t="s">
        <v>200</v>
      </c>
      <c r="P12" s="38">
        <v>6.4999999999999997E-3</v>
      </c>
      <c r="Q12" s="38">
        <f>P12*N12</f>
        <v>0.65</v>
      </c>
      <c r="R12" s="37"/>
      <c r="S12" s="59"/>
    </row>
    <row r="13" spans="1:19" s="82" customFormat="1" x14ac:dyDescent="0.25">
      <c r="A13" s="80"/>
      <c r="B13" s="47">
        <f t="shared" si="0"/>
        <v>4</v>
      </c>
      <c r="C13" s="54" t="s">
        <v>9</v>
      </c>
      <c r="D13" s="51" t="s">
        <v>23</v>
      </c>
      <c r="E13" s="51" t="s">
        <v>55</v>
      </c>
      <c r="F13" s="51" t="s">
        <v>85</v>
      </c>
      <c r="G13" s="51" t="s">
        <v>110</v>
      </c>
      <c r="H13" s="51" t="s">
        <v>133</v>
      </c>
      <c r="I13" s="51" t="s">
        <v>198</v>
      </c>
      <c r="J13" s="51" t="s">
        <v>151</v>
      </c>
      <c r="K13" s="51" t="s">
        <v>173</v>
      </c>
      <c r="L13" s="51">
        <v>1</v>
      </c>
      <c r="M13" s="37">
        <f t="shared" si="1"/>
        <v>10</v>
      </c>
      <c r="N13" s="51">
        <v>20</v>
      </c>
      <c r="O13" s="72" t="s">
        <v>200</v>
      </c>
      <c r="P13" s="52">
        <v>2.7799999999999998E-2</v>
      </c>
      <c r="Q13" s="52">
        <f t="shared" ref="Q13" si="3">P13*N13</f>
        <v>0.55599999999999994</v>
      </c>
      <c r="R13" s="51"/>
      <c r="S13" s="59"/>
    </row>
    <row r="14" spans="1:19" s="82" customFormat="1" ht="24" x14ac:dyDescent="0.25">
      <c r="A14" s="80"/>
      <c r="B14" s="46">
        <f>ROW(B14) - ROW($B$9)</f>
        <v>5</v>
      </c>
      <c r="C14" s="53" t="s">
        <v>9</v>
      </c>
      <c r="D14" s="37" t="s">
        <v>24</v>
      </c>
      <c r="E14" s="37" t="s">
        <v>56</v>
      </c>
      <c r="F14" s="37" t="s">
        <v>84</v>
      </c>
      <c r="G14" s="37" t="s">
        <v>111</v>
      </c>
      <c r="H14" s="37" t="s">
        <v>135</v>
      </c>
      <c r="I14" s="37" t="s">
        <v>198</v>
      </c>
      <c r="J14" s="37" t="s">
        <v>152</v>
      </c>
      <c r="K14" s="37" t="s">
        <v>174</v>
      </c>
      <c r="L14" s="37">
        <v>1</v>
      </c>
      <c r="M14" s="37">
        <f t="shared" si="1"/>
        <v>10</v>
      </c>
      <c r="N14" s="37">
        <v>50</v>
      </c>
      <c r="O14" s="70" t="s">
        <v>200</v>
      </c>
      <c r="P14" s="38">
        <v>9.5999999999999992E-3</v>
      </c>
      <c r="Q14" s="38">
        <f>P14*N14</f>
        <v>0.48</v>
      </c>
      <c r="R14" s="37"/>
      <c r="S14" s="59"/>
    </row>
    <row r="15" spans="1:19" s="82" customFormat="1" ht="24" x14ac:dyDescent="0.25">
      <c r="A15" s="80"/>
      <c r="B15" s="47">
        <f t="shared" si="0"/>
        <v>6</v>
      </c>
      <c r="C15" s="54" t="s">
        <v>9</v>
      </c>
      <c r="D15" s="51" t="s">
        <v>25</v>
      </c>
      <c r="E15" s="51" t="s">
        <v>57</v>
      </c>
      <c r="F15" s="51" t="s">
        <v>86</v>
      </c>
      <c r="G15" s="51" t="s">
        <v>112</v>
      </c>
      <c r="H15" s="51" t="s">
        <v>133</v>
      </c>
      <c r="I15" s="51" t="s">
        <v>198</v>
      </c>
      <c r="J15" s="51" t="s">
        <v>153</v>
      </c>
      <c r="K15" s="51" t="s">
        <v>175</v>
      </c>
      <c r="L15" s="51">
        <v>1</v>
      </c>
      <c r="M15" s="37">
        <f t="shared" si="1"/>
        <v>10</v>
      </c>
      <c r="N15" s="51">
        <v>20</v>
      </c>
      <c r="O15" s="72" t="s">
        <v>200</v>
      </c>
      <c r="P15" s="52">
        <v>1.9800000000000002E-2</v>
      </c>
      <c r="Q15" s="52">
        <f t="shared" ref="Q15" si="4">P15*N15</f>
        <v>0.39600000000000002</v>
      </c>
      <c r="R15" s="51"/>
      <c r="S15" s="59"/>
    </row>
    <row r="16" spans="1:19" s="82" customFormat="1" x14ac:dyDescent="0.25">
      <c r="A16" s="80"/>
      <c r="B16" s="46">
        <f>ROW(B16) - ROW($B$9)</f>
        <v>7</v>
      </c>
      <c r="C16" s="53" t="s">
        <v>9</v>
      </c>
      <c r="D16" s="37" t="s">
        <v>26</v>
      </c>
      <c r="E16" s="37" t="s">
        <v>58</v>
      </c>
      <c r="F16" s="37" t="s">
        <v>87</v>
      </c>
      <c r="G16" s="37" t="s">
        <v>113</v>
      </c>
      <c r="H16" s="37" t="s">
        <v>136</v>
      </c>
      <c r="I16" s="37" t="s">
        <v>198</v>
      </c>
      <c r="J16" s="37" t="s">
        <v>154</v>
      </c>
      <c r="K16" s="37" t="s">
        <v>172</v>
      </c>
      <c r="L16" s="37">
        <v>7</v>
      </c>
      <c r="M16" s="37">
        <f t="shared" si="1"/>
        <v>70</v>
      </c>
      <c r="N16" s="37">
        <v>100</v>
      </c>
      <c r="O16" s="70" t="s">
        <v>200</v>
      </c>
      <c r="P16" s="38">
        <v>5.8999999999999999E-3</v>
      </c>
      <c r="Q16" s="38">
        <f>P16*N16</f>
        <v>0.59</v>
      </c>
      <c r="R16" s="37"/>
      <c r="S16" s="59"/>
    </row>
    <row r="17" spans="1:19" s="82" customFormat="1" ht="24" x14ac:dyDescent="0.25">
      <c r="A17" s="80"/>
      <c r="B17" s="47">
        <f t="shared" si="0"/>
        <v>8</v>
      </c>
      <c r="C17" s="54" t="s">
        <v>9</v>
      </c>
      <c r="D17" s="51" t="s">
        <v>27</v>
      </c>
      <c r="E17" s="51" t="s">
        <v>59</v>
      </c>
      <c r="F17" s="51" t="s">
        <v>86</v>
      </c>
      <c r="G17" s="51" t="s">
        <v>114</v>
      </c>
      <c r="H17" s="51" t="s">
        <v>137</v>
      </c>
      <c r="I17" s="51" t="s">
        <v>198</v>
      </c>
      <c r="J17" s="51" t="s">
        <v>155</v>
      </c>
      <c r="K17" s="51" t="s">
        <v>176</v>
      </c>
      <c r="L17" s="51">
        <v>1</v>
      </c>
      <c r="M17" s="37">
        <f t="shared" si="1"/>
        <v>10</v>
      </c>
      <c r="N17" s="51">
        <v>50</v>
      </c>
      <c r="O17" s="72" t="s">
        <v>200</v>
      </c>
      <c r="P17" s="52">
        <v>3.8E-3</v>
      </c>
      <c r="Q17" s="52">
        <f t="shared" ref="Q17" si="5">P17*N17</f>
        <v>0.19</v>
      </c>
      <c r="R17" s="51"/>
      <c r="S17" s="59"/>
    </row>
    <row r="18" spans="1:19" s="82" customFormat="1" ht="60" x14ac:dyDescent="0.25">
      <c r="A18" s="80"/>
      <c r="B18" s="46">
        <f>ROW(B18) - ROW($B$9)</f>
        <v>9</v>
      </c>
      <c r="C18" s="53" t="s">
        <v>10</v>
      </c>
      <c r="D18" s="37" t="s">
        <v>28</v>
      </c>
      <c r="E18" s="37" t="s">
        <v>60</v>
      </c>
      <c r="F18" s="37" t="s">
        <v>199</v>
      </c>
      <c r="G18" s="37" t="s">
        <v>88</v>
      </c>
      <c r="H18" s="37" t="s">
        <v>138</v>
      </c>
      <c r="I18" s="37" t="s">
        <v>198</v>
      </c>
      <c r="J18" s="37" t="s">
        <v>156</v>
      </c>
      <c r="K18" s="37" t="s">
        <v>198</v>
      </c>
      <c r="L18" s="37">
        <v>3</v>
      </c>
      <c r="M18" s="37">
        <f t="shared" si="1"/>
        <v>30</v>
      </c>
      <c r="N18" s="37">
        <v>40</v>
      </c>
      <c r="O18" s="70" t="s">
        <v>200</v>
      </c>
      <c r="P18" s="38">
        <v>2.76E-2</v>
      </c>
      <c r="Q18" s="38">
        <f>P18*N18</f>
        <v>1.1040000000000001</v>
      </c>
      <c r="R18" s="37"/>
      <c r="S18" s="59"/>
    </row>
    <row r="19" spans="1:19" s="82" customFormat="1" ht="38.25" x14ac:dyDescent="0.25">
      <c r="A19" s="80"/>
      <c r="B19" s="47">
        <f t="shared" si="0"/>
        <v>10</v>
      </c>
      <c r="C19" s="54" t="s">
        <v>11</v>
      </c>
      <c r="D19" s="51" t="s">
        <v>29</v>
      </c>
      <c r="E19" s="51" t="s">
        <v>61</v>
      </c>
      <c r="F19" s="51" t="s">
        <v>199</v>
      </c>
      <c r="G19" s="51" t="s">
        <v>89</v>
      </c>
      <c r="H19" s="51" t="s">
        <v>139</v>
      </c>
      <c r="I19" s="51" t="s">
        <v>198</v>
      </c>
      <c r="J19" s="51" t="s">
        <v>157</v>
      </c>
      <c r="K19" s="51" t="s">
        <v>198</v>
      </c>
      <c r="L19" s="51">
        <v>1</v>
      </c>
      <c r="M19" s="37">
        <f t="shared" si="1"/>
        <v>10</v>
      </c>
      <c r="N19" s="51">
        <v>15</v>
      </c>
      <c r="O19" s="72" t="s">
        <v>200</v>
      </c>
      <c r="P19" s="52">
        <v>0.2107</v>
      </c>
      <c r="Q19" s="52">
        <f t="shared" ref="Q19" si="6">P19*N19</f>
        <v>3.1604999999999999</v>
      </c>
      <c r="R19" s="51"/>
      <c r="S19" s="59"/>
    </row>
    <row r="20" spans="1:19" s="82" customFormat="1" ht="24" x14ac:dyDescent="0.25">
      <c r="A20" s="80"/>
      <c r="B20" s="46">
        <f>ROW(B20) - ROW($B$9)</f>
        <v>11</v>
      </c>
      <c r="C20" s="53" t="s">
        <v>12</v>
      </c>
      <c r="D20" s="37" t="s">
        <v>30</v>
      </c>
      <c r="E20" s="37" t="s">
        <v>62</v>
      </c>
      <c r="F20" s="37" t="s">
        <v>90</v>
      </c>
      <c r="G20" s="37" t="s">
        <v>115</v>
      </c>
      <c r="H20" s="37" t="s">
        <v>140</v>
      </c>
      <c r="I20" s="37" t="s">
        <v>198</v>
      </c>
      <c r="J20" s="37" t="s">
        <v>158</v>
      </c>
      <c r="K20" s="37" t="s">
        <v>198</v>
      </c>
      <c r="L20" s="37">
        <v>2</v>
      </c>
      <c r="M20" s="37">
        <f t="shared" si="1"/>
        <v>20</v>
      </c>
      <c r="N20" s="37">
        <v>50</v>
      </c>
      <c r="O20" s="70" t="s">
        <v>200</v>
      </c>
      <c r="P20" s="38">
        <v>1.21E-2</v>
      </c>
      <c r="Q20" s="38">
        <f>P20*N20</f>
        <v>0.60499999999999998</v>
      </c>
      <c r="R20" s="37"/>
      <c r="S20" s="59"/>
    </row>
    <row r="21" spans="1:19" s="82" customFormat="1" x14ac:dyDescent="0.25">
      <c r="A21" s="80"/>
      <c r="B21" s="47">
        <f t="shared" si="0"/>
        <v>12</v>
      </c>
      <c r="C21" s="54" t="s">
        <v>13</v>
      </c>
      <c r="D21" s="51" t="s">
        <v>31</v>
      </c>
      <c r="E21" s="51" t="s">
        <v>63</v>
      </c>
      <c r="F21" s="51" t="s">
        <v>91</v>
      </c>
      <c r="G21" s="51" t="s">
        <v>116</v>
      </c>
      <c r="H21" s="51" t="s">
        <v>141</v>
      </c>
      <c r="I21" s="51" t="s">
        <v>198</v>
      </c>
      <c r="J21" s="51" t="s">
        <v>159</v>
      </c>
      <c r="K21" s="51" t="s">
        <v>198</v>
      </c>
      <c r="L21" s="51">
        <v>1</v>
      </c>
      <c r="M21" s="37">
        <f t="shared" si="1"/>
        <v>10</v>
      </c>
      <c r="N21" s="51">
        <v>15</v>
      </c>
      <c r="O21" s="72" t="s">
        <v>200</v>
      </c>
      <c r="P21" s="52">
        <v>7.4899999999999994E-2</v>
      </c>
      <c r="Q21" s="52">
        <f t="shared" ref="Q21" si="7">P21*N21</f>
        <v>1.1234999999999999</v>
      </c>
      <c r="R21" s="51"/>
      <c r="S21" s="59"/>
    </row>
    <row r="22" spans="1:19" s="82" customFormat="1" ht="24" x14ac:dyDescent="0.25">
      <c r="A22" s="80"/>
      <c r="B22" s="46">
        <f>ROW(B22) - ROW($B$9)</f>
        <v>13</v>
      </c>
      <c r="C22" s="53" t="s">
        <v>12</v>
      </c>
      <c r="D22" s="37" t="s">
        <v>32</v>
      </c>
      <c r="E22" s="37" t="s">
        <v>64</v>
      </c>
      <c r="F22" s="37" t="s">
        <v>203</v>
      </c>
      <c r="G22" s="37" t="s">
        <v>92</v>
      </c>
      <c r="H22" s="37" t="s">
        <v>142</v>
      </c>
      <c r="I22" s="37" t="s">
        <v>198</v>
      </c>
      <c r="J22" s="37" t="s">
        <v>160</v>
      </c>
      <c r="K22" s="37" t="s">
        <v>198</v>
      </c>
      <c r="L22" s="37">
        <v>1</v>
      </c>
      <c r="M22" s="37">
        <f t="shared" si="1"/>
        <v>10</v>
      </c>
      <c r="N22" s="37">
        <v>15</v>
      </c>
      <c r="O22" s="70" t="s">
        <v>200</v>
      </c>
      <c r="P22" s="38">
        <v>0.18240000000000001</v>
      </c>
      <c r="Q22" s="38">
        <f>P22*N22</f>
        <v>2.7360000000000002</v>
      </c>
      <c r="R22" s="37"/>
      <c r="S22" s="59"/>
    </row>
    <row r="23" spans="1:19" s="82" customFormat="1" ht="25.5" x14ac:dyDescent="0.25">
      <c r="A23" s="80"/>
      <c r="B23" s="47">
        <f t="shared" si="0"/>
        <v>14</v>
      </c>
      <c r="C23" s="54" t="s">
        <v>14</v>
      </c>
      <c r="D23" s="71" t="s">
        <v>33</v>
      </c>
      <c r="E23" s="71" t="s">
        <v>65</v>
      </c>
      <c r="F23" s="71" t="s">
        <v>199</v>
      </c>
      <c r="G23" s="71" t="s">
        <v>93</v>
      </c>
      <c r="H23" s="71" t="s">
        <v>198</v>
      </c>
      <c r="I23" s="71"/>
      <c r="J23" s="71" t="s">
        <v>198</v>
      </c>
      <c r="K23" s="71" t="s">
        <v>198</v>
      </c>
      <c r="L23" s="71">
        <v>6</v>
      </c>
      <c r="M23" s="79">
        <f t="shared" si="1"/>
        <v>60</v>
      </c>
      <c r="N23" s="71" t="s">
        <v>198</v>
      </c>
      <c r="O23" s="71" t="s">
        <v>198</v>
      </c>
      <c r="P23" s="83" t="s">
        <v>198</v>
      </c>
      <c r="Q23" s="83" t="s">
        <v>198</v>
      </c>
      <c r="R23" s="84" t="s">
        <v>214</v>
      </c>
      <c r="S23" s="75"/>
    </row>
    <row r="24" spans="1:19" s="82" customFormat="1" ht="25.5" x14ac:dyDescent="0.25">
      <c r="A24" s="80"/>
      <c r="B24" s="46">
        <f>ROW(B24) - ROW($B$9)</f>
        <v>15</v>
      </c>
      <c r="C24" s="53" t="s">
        <v>188</v>
      </c>
      <c r="D24" s="37" t="s">
        <v>34</v>
      </c>
      <c r="E24" s="37" t="s">
        <v>66</v>
      </c>
      <c r="F24" s="37" t="s">
        <v>94</v>
      </c>
      <c r="G24" s="79" t="s">
        <v>117</v>
      </c>
      <c r="H24" s="37" t="s">
        <v>143</v>
      </c>
      <c r="I24" s="37" t="s">
        <v>204</v>
      </c>
      <c r="J24" s="37" t="s">
        <v>205</v>
      </c>
      <c r="K24" s="37" t="s">
        <v>198</v>
      </c>
      <c r="L24" s="37">
        <v>1</v>
      </c>
      <c r="M24" s="37">
        <f t="shared" si="1"/>
        <v>10</v>
      </c>
      <c r="N24" s="37">
        <v>100</v>
      </c>
      <c r="O24" s="70" t="s">
        <v>200</v>
      </c>
      <c r="P24" s="38">
        <v>5.8999999999999999E-3</v>
      </c>
      <c r="Q24" s="38">
        <f>P24*N24</f>
        <v>0.59</v>
      </c>
      <c r="R24" s="37"/>
      <c r="S24" s="59"/>
    </row>
    <row r="25" spans="1:19" s="82" customFormat="1" ht="25.5" x14ac:dyDescent="0.25">
      <c r="A25" s="80"/>
      <c r="B25" s="47">
        <f t="shared" si="0"/>
        <v>16</v>
      </c>
      <c r="C25" s="54" t="s">
        <v>14</v>
      </c>
      <c r="D25" s="71" t="s">
        <v>35</v>
      </c>
      <c r="E25" s="71" t="s">
        <v>65</v>
      </c>
      <c r="F25" s="71" t="s">
        <v>199</v>
      </c>
      <c r="G25" s="71" t="s">
        <v>95</v>
      </c>
      <c r="H25" s="71" t="s">
        <v>198</v>
      </c>
      <c r="I25" s="71" t="s">
        <v>198</v>
      </c>
      <c r="J25" s="71" t="s">
        <v>198</v>
      </c>
      <c r="K25" s="71" t="s">
        <v>198</v>
      </c>
      <c r="L25" s="71">
        <v>1</v>
      </c>
      <c r="M25" s="78">
        <f t="shared" si="1"/>
        <v>10</v>
      </c>
      <c r="N25" s="71" t="s">
        <v>198</v>
      </c>
      <c r="O25" s="71" t="s">
        <v>198</v>
      </c>
      <c r="P25" s="83" t="s">
        <v>198</v>
      </c>
      <c r="Q25" s="83" t="s">
        <v>198</v>
      </c>
      <c r="R25" s="84" t="s">
        <v>214</v>
      </c>
      <c r="S25" s="75"/>
    </row>
    <row r="26" spans="1:19" s="82" customFormat="1" ht="24" x14ac:dyDescent="0.25">
      <c r="A26" s="80"/>
      <c r="B26" s="46">
        <f>ROW(B26) - ROW($B$9)</f>
        <v>17</v>
      </c>
      <c r="C26" s="53" t="s">
        <v>15</v>
      </c>
      <c r="D26" s="37" t="s">
        <v>36</v>
      </c>
      <c r="E26" s="37" t="s">
        <v>67</v>
      </c>
      <c r="F26" s="37" t="s">
        <v>96</v>
      </c>
      <c r="G26" s="79" t="s">
        <v>118</v>
      </c>
      <c r="H26" s="37" t="s">
        <v>144</v>
      </c>
      <c r="I26" s="37" t="s">
        <v>215</v>
      </c>
      <c r="J26" s="37" t="s">
        <v>209</v>
      </c>
      <c r="K26" s="37" t="s">
        <v>198</v>
      </c>
      <c r="L26" s="37">
        <v>2</v>
      </c>
      <c r="M26" s="37">
        <f t="shared" si="1"/>
        <v>20</v>
      </c>
      <c r="N26" s="37">
        <v>21</v>
      </c>
      <c r="O26" s="70" t="s">
        <v>200</v>
      </c>
      <c r="P26" s="38">
        <v>0.82410000000000005</v>
      </c>
      <c r="Q26" s="38">
        <f>P26*N26</f>
        <v>17.306100000000001</v>
      </c>
      <c r="R26" s="37"/>
      <c r="S26" s="59"/>
    </row>
    <row r="27" spans="1:19" s="82" customFormat="1" ht="24" x14ac:dyDescent="0.25">
      <c r="A27" s="80"/>
      <c r="B27" s="47">
        <f t="shared" si="0"/>
        <v>18</v>
      </c>
      <c r="C27" s="54" t="s">
        <v>15</v>
      </c>
      <c r="D27" s="51" t="s">
        <v>37</v>
      </c>
      <c r="E27" s="51" t="s">
        <v>68</v>
      </c>
      <c r="F27" s="51" t="s">
        <v>97</v>
      </c>
      <c r="G27" s="51" t="s">
        <v>119</v>
      </c>
      <c r="H27" s="51" t="s">
        <v>140</v>
      </c>
      <c r="I27" s="51" t="s">
        <v>198</v>
      </c>
      <c r="J27" s="51" t="s">
        <v>161</v>
      </c>
      <c r="K27" s="51" t="s">
        <v>198</v>
      </c>
      <c r="L27" s="51">
        <v>1</v>
      </c>
      <c r="M27" s="37">
        <f t="shared" si="1"/>
        <v>10</v>
      </c>
      <c r="N27" s="51">
        <v>20</v>
      </c>
      <c r="O27" s="72" t="s">
        <v>200</v>
      </c>
      <c r="P27" s="52">
        <v>3.5700000000000003E-2</v>
      </c>
      <c r="Q27" s="52">
        <f t="shared" ref="Q27" si="8">P27*N27</f>
        <v>0.71400000000000008</v>
      </c>
      <c r="R27" s="51"/>
      <c r="S27" s="59"/>
    </row>
    <row r="28" spans="1:19" s="82" customFormat="1" ht="24" x14ac:dyDescent="0.25">
      <c r="A28" s="80"/>
      <c r="B28" s="46">
        <f>ROW(B28) - ROW($B$9)</f>
        <v>19</v>
      </c>
      <c r="C28" s="53" t="s">
        <v>16</v>
      </c>
      <c r="D28" s="37" t="s">
        <v>38</v>
      </c>
      <c r="E28" s="37" t="s">
        <v>69</v>
      </c>
      <c r="F28" s="37" t="s">
        <v>98</v>
      </c>
      <c r="G28" s="37" t="s">
        <v>120</v>
      </c>
      <c r="H28" s="37" t="s">
        <v>133</v>
      </c>
      <c r="I28" s="37" t="s">
        <v>198</v>
      </c>
      <c r="J28" s="37" t="s">
        <v>162</v>
      </c>
      <c r="K28" s="37" t="s">
        <v>177</v>
      </c>
      <c r="L28" s="37">
        <v>9</v>
      </c>
      <c r="M28" s="37">
        <f t="shared" si="1"/>
        <v>90</v>
      </c>
      <c r="N28" s="37">
        <v>100</v>
      </c>
      <c r="O28" s="70" t="s">
        <v>200</v>
      </c>
      <c r="P28" s="38">
        <v>4.1000000000000003E-3</v>
      </c>
      <c r="Q28" s="38">
        <f>P28*N28</f>
        <v>0.41000000000000003</v>
      </c>
      <c r="R28" s="51"/>
      <c r="S28" s="59"/>
    </row>
    <row r="29" spans="1:19" s="82" customFormat="1" x14ac:dyDescent="0.25">
      <c r="A29" s="80"/>
      <c r="B29" s="47">
        <f t="shared" si="0"/>
        <v>20</v>
      </c>
      <c r="C29" s="54" t="s">
        <v>16</v>
      </c>
      <c r="D29" s="51" t="s">
        <v>39</v>
      </c>
      <c r="E29" s="51" t="s">
        <v>70</v>
      </c>
      <c r="F29" s="51" t="s">
        <v>98</v>
      </c>
      <c r="G29" s="71" t="s">
        <v>121</v>
      </c>
      <c r="H29" s="51" t="s">
        <v>133</v>
      </c>
      <c r="I29" s="51" t="s">
        <v>198</v>
      </c>
      <c r="J29" s="51" t="s">
        <v>206</v>
      </c>
      <c r="K29" s="51" t="s">
        <v>178</v>
      </c>
      <c r="L29" s="51">
        <v>1</v>
      </c>
      <c r="M29" s="37">
        <f t="shared" si="1"/>
        <v>10</v>
      </c>
      <c r="N29" s="51">
        <v>100</v>
      </c>
      <c r="O29" s="72" t="s">
        <v>200</v>
      </c>
      <c r="P29" s="52">
        <v>1.4E-3</v>
      </c>
      <c r="Q29" s="52">
        <f t="shared" ref="Q29" si="9">P29*N29</f>
        <v>0.13999999999999999</v>
      </c>
      <c r="R29" s="51"/>
      <c r="S29" s="59"/>
    </row>
    <row r="30" spans="1:19" s="82" customFormat="1" x14ac:dyDescent="0.25">
      <c r="A30" s="80"/>
      <c r="B30" s="46">
        <f>ROW(B30) - ROW($B$9)</f>
        <v>21</v>
      </c>
      <c r="C30" s="53" t="s">
        <v>16</v>
      </c>
      <c r="D30" s="37" t="s">
        <v>40</v>
      </c>
      <c r="E30" s="37" t="s">
        <v>71</v>
      </c>
      <c r="F30" s="37" t="s">
        <v>99</v>
      </c>
      <c r="G30" s="37" t="s">
        <v>122</v>
      </c>
      <c r="H30" s="37" t="s">
        <v>133</v>
      </c>
      <c r="I30" s="37" t="s">
        <v>198</v>
      </c>
      <c r="J30" s="37" t="s">
        <v>163</v>
      </c>
      <c r="K30" s="37" t="s">
        <v>179</v>
      </c>
      <c r="L30" s="37">
        <v>5</v>
      </c>
      <c r="M30" s="37">
        <f t="shared" si="1"/>
        <v>50</v>
      </c>
      <c r="N30" s="37">
        <v>100</v>
      </c>
      <c r="O30" s="70" t="s">
        <v>200</v>
      </c>
      <c r="P30" s="38">
        <v>6.9999999999999999E-4</v>
      </c>
      <c r="Q30" s="38">
        <f>P30*N30</f>
        <v>6.9999999999999993E-2</v>
      </c>
      <c r="R30" s="37"/>
      <c r="S30" s="59"/>
    </row>
    <row r="31" spans="1:19" s="82" customFormat="1" ht="24" x14ac:dyDescent="0.25">
      <c r="A31" s="80"/>
      <c r="B31" s="47">
        <f t="shared" si="0"/>
        <v>22</v>
      </c>
      <c r="C31" s="54" t="s">
        <v>16</v>
      </c>
      <c r="D31" s="51" t="s">
        <v>41</v>
      </c>
      <c r="E31" s="51" t="s">
        <v>72</v>
      </c>
      <c r="F31" s="51" t="s">
        <v>100</v>
      </c>
      <c r="G31" s="51" t="s">
        <v>123</v>
      </c>
      <c r="H31" s="51" t="s">
        <v>145</v>
      </c>
      <c r="I31" s="51" t="s">
        <v>198</v>
      </c>
      <c r="J31" s="51" t="s">
        <v>164</v>
      </c>
      <c r="K31" s="51" t="s">
        <v>180</v>
      </c>
      <c r="L31" s="51">
        <v>1</v>
      </c>
      <c r="M31" s="37">
        <f t="shared" si="1"/>
        <v>10</v>
      </c>
      <c r="N31" s="51">
        <v>15</v>
      </c>
      <c r="O31" s="72" t="s">
        <v>200</v>
      </c>
      <c r="P31" s="52">
        <v>0.20680000000000001</v>
      </c>
      <c r="Q31" s="52">
        <f t="shared" ref="Q31" si="10">P31*N31</f>
        <v>3.1020000000000003</v>
      </c>
      <c r="R31" s="51"/>
      <c r="S31" s="59"/>
    </row>
    <row r="32" spans="1:19" s="82" customFormat="1" x14ac:dyDescent="0.25">
      <c r="A32" s="80"/>
      <c r="B32" s="46">
        <f>ROW(B32) - ROW($B$9)</f>
        <v>23</v>
      </c>
      <c r="C32" s="53" t="s">
        <v>16</v>
      </c>
      <c r="D32" s="37" t="s">
        <v>42</v>
      </c>
      <c r="E32" s="37" t="s">
        <v>73</v>
      </c>
      <c r="F32" s="37" t="s">
        <v>99</v>
      </c>
      <c r="G32" s="37" t="s">
        <v>124</v>
      </c>
      <c r="H32" s="37" t="s">
        <v>133</v>
      </c>
      <c r="I32" s="37" t="s">
        <v>198</v>
      </c>
      <c r="J32" s="37" t="s">
        <v>165</v>
      </c>
      <c r="K32" s="37" t="s">
        <v>178</v>
      </c>
      <c r="L32" s="37">
        <v>1</v>
      </c>
      <c r="M32" s="37">
        <f t="shared" si="1"/>
        <v>10</v>
      </c>
      <c r="N32" s="37">
        <v>100</v>
      </c>
      <c r="O32" s="70" t="s">
        <v>200</v>
      </c>
      <c r="P32" s="38">
        <v>5.9999999999999995E-4</v>
      </c>
      <c r="Q32" s="38">
        <f>P32*N32</f>
        <v>0.06</v>
      </c>
      <c r="R32" s="37"/>
      <c r="S32" s="59"/>
    </row>
    <row r="33" spans="1:19" s="82" customFormat="1" x14ac:dyDescent="0.25">
      <c r="A33" s="80"/>
      <c r="B33" s="47">
        <f t="shared" si="0"/>
        <v>24</v>
      </c>
      <c r="C33" s="53" t="s">
        <v>16</v>
      </c>
      <c r="D33" s="51" t="s">
        <v>43</v>
      </c>
      <c r="E33" s="51" t="s">
        <v>74</v>
      </c>
      <c r="F33" s="51" t="s">
        <v>99</v>
      </c>
      <c r="G33" s="51" t="s">
        <v>125</v>
      </c>
      <c r="H33" s="51" t="s">
        <v>133</v>
      </c>
      <c r="I33" s="51" t="s">
        <v>198</v>
      </c>
      <c r="J33" s="51" t="s">
        <v>166</v>
      </c>
      <c r="K33" s="51" t="s">
        <v>181</v>
      </c>
      <c r="L33" s="51">
        <v>1</v>
      </c>
      <c r="M33" s="37">
        <f t="shared" si="1"/>
        <v>10</v>
      </c>
      <c r="N33" s="51">
        <v>100</v>
      </c>
      <c r="O33" s="72" t="s">
        <v>200</v>
      </c>
      <c r="P33" s="52">
        <v>6.9999999999999999E-4</v>
      </c>
      <c r="Q33" s="52">
        <f t="shared" ref="Q33" si="11">P33*N33</f>
        <v>6.9999999999999993E-2</v>
      </c>
      <c r="R33" s="51"/>
      <c r="S33" s="59"/>
    </row>
    <row r="34" spans="1:19" s="82" customFormat="1" x14ac:dyDescent="0.25">
      <c r="A34" s="80"/>
      <c r="B34" s="46">
        <f>ROW(B34) - ROW($B$9)</f>
        <v>25</v>
      </c>
      <c r="C34" s="53" t="s">
        <v>16</v>
      </c>
      <c r="D34" s="37" t="s">
        <v>44</v>
      </c>
      <c r="E34" s="37" t="s">
        <v>75</v>
      </c>
      <c r="F34" s="37" t="s">
        <v>98</v>
      </c>
      <c r="G34" s="37" t="s">
        <v>126</v>
      </c>
      <c r="H34" s="37" t="s">
        <v>133</v>
      </c>
      <c r="I34" s="37" t="s">
        <v>198</v>
      </c>
      <c r="J34" s="37" t="s">
        <v>167</v>
      </c>
      <c r="K34" s="37" t="s">
        <v>182</v>
      </c>
      <c r="L34" s="37">
        <v>1</v>
      </c>
      <c r="M34" s="37">
        <f t="shared" si="1"/>
        <v>10</v>
      </c>
      <c r="N34" s="37">
        <v>100</v>
      </c>
      <c r="O34" s="70" t="s">
        <v>200</v>
      </c>
      <c r="P34" s="38">
        <v>2.2000000000000001E-3</v>
      </c>
      <c r="Q34" s="38">
        <f>P34*N34</f>
        <v>0.22</v>
      </c>
      <c r="R34" s="37"/>
      <c r="S34" s="59"/>
    </row>
    <row r="35" spans="1:19" s="82" customFormat="1" x14ac:dyDescent="0.25">
      <c r="A35" s="80"/>
      <c r="B35" s="47">
        <f t="shared" si="0"/>
        <v>26</v>
      </c>
      <c r="C35" s="54" t="s">
        <v>16</v>
      </c>
      <c r="D35" s="51" t="s">
        <v>45</v>
      </c>
      <c r="E35" s="51" t="s">
        <v>76</v>
      </c>
      <c r="F35" s="51" t="s">
        <v>98</v>
      </c>
      <c r="G35" s="51" t="s">
        <v>127</v>
      </c>
      <c r="H35" s="51" t="s">
        <v>133</v>
      </c>
      <c r="I35" s="51" t="s">
        <v>198</v>
      </c>
      <c r="J35" s="51" t="s">
        <v>168</v>
      </c>
      <c r="K35" s="51" t="s">
        <v>183</v>
      </c>
      <c r="L35" s="51">
        <v>3</v>
      </c>
      <c r="M35" s="37">
        <f t="shared" si="1"/>
        <v>30</v>
      </c>
      <c r="N35" s="51">
        <v>100</v>
      </c>
      <c r="O35" s="72" t="s">
        <v>200</v>
      </c>
      <c r="P35" s="52">
        <v>2.2000000000000001E-3</v>
      </c>
      <c r="Q35" s="52">
        <f t="shared" ref="Q35" si="12">P35*N35</f>
        <v>0.22</v>
      </c>
      <c r="R35" s="51"/>
      <c r="S35" s="59"/>
    </row>
    <row r="36" spans="1:19" s="82" customFormat="1" x14ac:dyDescent="0.25">
      <c r="A36" s="80"/>
      <c r="B36" s="46">
        <f>ROW(B36) - ROW($B$9)</f>
        <v>27</v>
      </c>
      <c r="C36" s="53" t="s">
        <v>16</v>
      </c>
      <c r="D36" s="37" t="s">
        <v>46</v>
      </c>
      <c r="E36" s="37" t="s">
        <v>77</v>
      </c>
      <c r="F36" s="37" t="s">
        <v>101</v>
      </c>
      <c r="G36" s="79" t="s">
        <v>128</v>
      </c>
      <c r="H36" s="37" t="s">
        <v>133</v>
      </c>
      <c r="I36" s="37" t="s">
        <v>207</v>
      </c>
      <c r="J36" s="37" t="s">
        <v>208</v>
      </c>
      <c r="K36" s="37" t="s">
        <v>184</v>
      </c>
      <c r="L36" s="37">
        <v>1</v>
      </c>
      <c r="M36" s="37">
        <f t="shared" si="1"/>
        <v>10</v>
      </c>
      <c r="N36" s="37">
        <v>100</v>
      </c>
      <c r="O36" s="70" t="s">
        <v>200</v>
      </c>
      <c r="P36" s="38">
        <v>1.6999999999999999E-3</v>
      </c>
      <c r="Q36" s="38">
        <f>P36*N36</f>
        <v>0.16999999999999998</v>
      </c>
      <c r="R36" s="37"/>
      <c r="S36" s="59"/>
    </row>
    <row r="37" spans="1:19" s="82" customFormat="1" x14ac:dyDescent="0.25">
      <c r="A37" s="80"/>
      <c r="B37" s="47">
        <f t="shared" si="0"/>
        <v>28</v>
      </c>
      <c r="C37" s="54" t="s">
        <v>16</v>
      </c>
      <c r="D37" s="51" t="s">
        <v>47</v>
      </c>
      <c r="E37" s="51" t="s">
        <v>78</v>
      </c>
      <c r="F37" s="51" t="s">
        <v>102</v>
      </c>
      <c r="G37" s="51" t="s">
        <v>129</v>
      </c>
      <c r="H37" s="51" t="s">
        <v>133</v>
      </c>
      <c r="I37" s="51" t="s">
        <v>198</v>
      </c>
      <c r="J37" s="51" t="s">
        <v>169</v>
      </c>
      <c r="K37" s="51" t="s">
        <v>179</v>
      </c>
      <c r="L37" s="51">
        <v>4</v>
      </c>
      <c r="M37" s="37">
        <f t="shared" si="1"/>
        <v>40</v>
      </c>
      <c r="N37" s="51">
        <v>100</v>
      </c>
      <c r="O37" s="72" t="s">
        <v>200</v>
      </c>
      <c r="P37" s="52">
        <v>8.9999999999999998E-4</v>
      </c>
      <c r="Q37" s="52">
        <f t="shared" ref="Q37" si="13">P37*N37</f>
        <v>0.09</v>
      </c>
      <c r="R37" s="51"/>
      <c r="S37" s="59"/>
    </row>
    <row r="38" spans="1:19" s="82" customFormat="1" ht="25.5" x14ac:dyDescent="0.25">
      <c r="A38" s="80"/>
      <c r="B38" s="46">
        <f>ROW(B38) - ROW($B$9)</f>
        <v>29</v>
      </c>
      <c r="C38" s="53" t="s">
        <v>17</v>
      </c>
      <c r="D38" s="79" t="s">
        <v>48</v>
      </c>
      <c r="E38" s="79" t="s">
        <v>79</v>
      </c>
      <c r="F38" s="79" t="s">
        <v>199</v>
      </c>
      <c r="G38" s="79" t="s">
        <v>103</v>
      </c>
      <c r="H38" s="79" t="s">
        <v>198</v>
      </c>
      <c r="I38" s="79" t="s">
        <v>198</v>
      </c>
      <c r="J38" s="79" t="s">
        <v>198</v>
      </c>
      <c r="K38" s="79" t="s">
        <v>198</v>
      </c>
      <c r="L38" s="79">
        <v>7</v>
      </c>
      <c r="M38" s="79">
        <f t="shared" si="1"/>
        <v>70</v>
      </c>
      <c r="N38" s="79" t="s">
        <v>198</v>
      </c>
      <c r="O38" s="79" t="s">
        <v>198</v>
      </c>
      <c r="P38" s="85" t="s">
        <v>198</v>
      </c>
      <c r="Q38" s="85" t="s">
        <v>198</v>
      </c>
      <c r="R38" s="84" t="s">
        <v>214</v>
      </c>
      <c r="S38" s="75"/>
    </row>
    <row r="39" spans="1:19" s="82" customFormat="1" ht="24" x14ac:dyDescent="0.25">
      <c r="A39" s="80"/>
      <c r="B39" s="47">
        <f t="shared" si="0"/>
        <v>30</v>
      </c>
      <c r="C39" s="54" t="s">
        <v>18</v>
      </c>
      <c r="D39" s="51" t="s">
        <v>49</v>
      </c>
      <c r="E39" s="51" t="s">
        <v>80</v>
      </c>
      <c r="F39" s="51" t="s">
        <v>104</v>
      </c>
      <c r="G39" s="51" t="s">
        <v>130</v>
      </c>
      <c r="H39" s="51" t="s">
        <v>146</v>
      </c>
      <c r="I39" s="51" t="s">
        <v>198</v>
      </c>
      <c r="J39" s="51" t="s">
        <v>198</v>
      </c>
      <c r="K39" s="51" t="s">
        <v>198</v>
      </c>
      <c r="L39" s="51">
        <v>1</v>
      </c>
      <c r="M39" s="37">
        <f t="shared" si="1"/>
        <v>10</v>
      </c>
      <c r="N39" s="51"/>
      <c r="O39" s="51"/>
      <c r="P39" s="52"/>
      <c r="Q39" s="52">
        <f t="shared" ref="Q39" si="14">P39*N39</f>
        <v>0</v>
      </c>
      <c r="R39" s="51"/>
      <c r="S39" s="59"/>
    </row>
    <row r="40" spans="1:19" s="82" customFormat="1" ht="24.75" thickBot="1" x14ac:dyDescent="0.3">
      <c r="A40" s="80"/>
      <c r="B40" s="46">
        <f>ROW(B40) - ROW($B$9)</f>
        <v>31</v>
      </c>
      <c r="C40" s="53" t="s">
        <v>18</v>
      </c>
      <c r="D40" s="37" t="s">
        <v>50</v>
      </c>
      <c r="E40" s="37" t="s">
        <v>81</v>
      </c>
      <c r="F40" s="37" t="s">
        <v>105</v>
      </c>
      <c r="G40" s="37" t="s">
        <v>131</v>
      </c>
      <c r="H40" s="37" t="s">
        <v>147</v>
      </c>
      <c r="I40" s="37" t="s">
        <v>198</v>
      </c>
      <c r="J40" s="37" t="s">
        <v>170</v>
      </c>
      <c r="K40" s="37" t="s">
        <v>198</v>
      </c>
      <c r="L40" s="37">
        <v>1</v>
      </c>
      <c r="M40" s="37">
        <f t="shared" si="1"/>
        <v>10</v>
      </c>
      <c r="N40" s="37">
        <v>11</v>
      </c>
      <c r="O40" s="70" t="s">
        <v>200</v>
      </c>
      <c r="P40" s="38">
        <v>0.79510000000000003</v>
      </c>
      <c r="Q40" s="38">
        <f>P40*N40</f>
        <v>8.7461000000000002</v>
      </c>
      <c r="R40" s="37"/>
      <c r="S40" s="39"/>
    </row>
    <row r="41" spans="1:19" ht="15.75" thickBot="1" x14ac:dyDescent="0.3">
      <c r="A41" s="1"/>
      <c r="B41" s="46">
        <f t="shared" ref="B41:B44" si="15">ROW(B41) - ROW($B$9)</f>
        <v>32</v>
      </c>
      <c r="C41" s="53" t="s">
        <v>216</v>
      </c>
      <c r="D41" s="37" t="s">
        <v>198</v>
      </c>
      <c r="E41" s="37" t="s">
        <v>218</v>
      </c>
      <c r="F41" s="37" t="s">
        <v>199</v>
      </c>
      <c r="G41" s="37" t="s">
        <v>217</v>
      </c>
      <c r="H41" s="37" t="s">
        <v>219</v>
      </c>
      <c r="I41" s="37" t="s">
        <v>198</v>
      </c>
      <c r="J41" s="37" t="s">
        <v>220</v>
      </c>
      <c r="K41" s="37" t="s">
        <v>198</v>
      </c>
      <c r="L41" s="37">
        <v>1</v>
      </c>
      <c r="M41" s="37">
        <v>2</v>
      </c>
      <c r="N41" s="37">
        <v>5</v>
      </c>
      <c r="O41" s="70" t="s">
        <v>200</v>
      </c>
      <c r="P41" s="38">
        <v>9.3100000000000002E-2</v>
      </c>
      <c r="Q41" s="38">
        <f>P41*N41</f>
        <v>0.46550000000000002</v>
      </c>
      <c r="R41" s="37"/>
      <c r="S41" s="39"/>
    </row>
    <row r="42" spans="1:19" ht="15.75" thickBot="1" x14ac:dyDescent="0.3">
      <c r="A42" s="1"/>
      <c r="B42" s="46">
        <f t="shared" si="15"/>
        <v>33</v>
      </c>
      <c r="C42" s="53" t="s">
        <v>216</v>
      </c>
      <c r="D42" s="37" t="s">
        <v>198</v>
      </c>
      <c r="E42" s="37" t="s">
        <v>223</v>
      </c>
      <c r="F42" s="37" t="s">
        <v>199</v>
      </c>
      <c r="G42" s="37" t="s">
        <v>221</v>
      </c>
      <c r="H42" s="37" t="s">
        <v>219</v>
      </c>
      <c r="I42" s="37" t="s">
        <v>198</v>
      </c>
      <c r="J42" s="37" t="s">
        <v>222</v>
      </c>
      <c r="K42" s="37" t="s">
        <v>198</v>
      </c>
      <c r="L42" s="37">
        <v>1</v>
      </c>
      <c r="M42" s="37">
        <v>2</v>
      </c>
      <c r="N42" s="37">
        <v>5</v>
      </c>
      <c r="O42" s="70" t="s">
        <v>200</v>
      </c>
      <c r="P42" s="38">
        <v>5.16E-2</v>
      </c>
      <c r="Q42" s="38">
        <f t="shared" ref="Q42:Q44" si="16">P42*N42</f>
        <v>0.25800000000000001</v>
      </c>
      <c r="R42" s="37"/>
      <c r="S42" s="39"/>
    </row>
    <row r="43" spans="1:19" ht="15.75" thickBot="1" x14ac:dyDescent="0.3">
      <c r="A43" s="1"/>
      <c r="B43" s="46">
        <f t="shared" si="15"/>
        <v>34</v>
      </c>
      <c r="C43" s="53" t="s">
        <v>216</v>
      </c>
      <c r="D43" s="37" t="s">
        <v>198</v>
      </c>
      <c r="E43" s="37" t="s">
        <v>224</v>
      </c>
      <c r="F43" s="37" t="s">
        <v>199</v>
      </c>
      <c r="G43" s="37" t="s">
        <v>225</v>
      </c>
      <c r="H43" s="37" t="s">
        <v>219</v>
      </c>
      <c r="I43" s="37" t="s">
        <v>198</v>
      </c>
      <c r="J43" s="37" t="s">
        <v>226</v>
      </c>
      <c r="K43" s="37" t="s">
        <v>198</v>
      </c>
      <c r="L43" s="37">
        <v>2</v>
      </c>
      <c r="M43" s="37">
        <v>4</v>
      </c>
      <c r="N43" s="37">
        <v>5</v>
      </c>
      <c r="O43" s="70" t="s">
        <v>200</v>
      </c>
      <c r="P43" s="38">
        <v>6.4899999999999999E-2</v>
      </c>
      <c r="Q43" s="38">
        <f t="shared" si="16"/>
        <v>0.32450000000000001</v>
      </c>
      <c r="R43" s="37"/>
      <c r="S43" s="39"/>
    </row>
    <row r="44" spans="1:19" ht="24.75" thickBot="1" x14ac:dyDescent="0.3">
      <c r="A44" s="1"/>
      <c r="B44" s="46">
        <f t="shared" si="15"/>
        <v>35</v>
      </c>
      <c r="C44" s="53" t="s">
        <v>216</v>
      </c>
      <c r="D44" s="37" t="s">
        <v>198</v>
      </c>
      <c r="E44" s="37" t="s">
        <v>229</v>
      </c>
      <c r="F44" s="37" t="s">
        <v>199</v>
      </c>
      <c r="G44" s="37" t="s">
        <v>227</v>
      </c>
      <c r="H44" s="37" t="s">
        <v>228</v>
      </c>
      <c r="I44" s="37" t="s">
        <v>198</v>
      </c>
      <c r="J44" s="37" t="s">
        <v>230</v>
      </c>
      <c r="K44" s="37" t="s">
        <v>198</v>
      </c>
      <c r="L44" s="37">
        <v>1</v>
      </c>
      <c r="M44" s="37">
        <v>2</v>
      </c>
      <c r="N44" s="37">
        <v>5</v>
      </c>
      <c r="O44" s="70" t="s">
        <v>200</v>
      </c>
      <c r="P44" s="38">
        <v>8.4000000000000005E-2</v>
      </c>
      <c r="Q44" s="38">
        <f t="shared" si="16"/>
        <v>0.42000000000000004</v>
      </c>
      <c r="R44" s="37"/>
      <c r="S44" s="39"/>
    </row>
    <row r="45" spans="1:19" ht="19.5" thickBot="1" x14ac:dyDescent="0.3">
      <c r="A45" s="1"/>
      <c r="B45" s="40"/>
      <c r="C45" s="41"/>
      <c r="D45" s="42"/>
      <c r="E45" s="43"/>
      <c r="F45" s="44"/>
      <c r="G45" s="45"/>
      <c r="H45" s="44"/>
      <c r="I45" s="45"/>
      <c r="J45" s="44"/>
      <c r="K45" s="45"/>
      <c r="L45" s="45"/>
      <c r="M45" s="45"/>
      <c r="N45" s="68" t="s">
        <v>5</v>
      </c>
      <c r="O45" s="69"/>
      <c r="P45" s="69"/>
      <c r="Q45" s="48">
        <f>SUM(Q10:Q44)</f>
        <v>46.061200000000007</v>
      </c>
      <c r="R45" s="64"/>
      <c r="S45" s="65"/>
    </row>
    <row r="46" spans="1:19" ht="19.5" thickBot="1" x14ac:dyDescent="0.3">
      <c r="A46" s="1"/>
      <c r="B46" s="25"/>
      <c r="C46" s="36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68" t="s">
        <v>6</v>
      </c>
      <c r="O46" s="69"/>
      <c r="P46" s="69"/>
      <c r="Q46" s="49">
        <f>Q45/10</f>
        <v>4.6061200000000007</v>
      </c>
      <c r="R46" s="66"/>
      <c r="S46" s="67"/>
    </row>
  </sheetData>
  <mergeCells count="5">
    <mergeCell ref="K1:S1"/>
    <mergeCell ref="S3:S8"/>
    <mergeCell ref="N45:P45"/>
    <mergeCell ref="R45:S46"/>
    <mergeCell ref="N46:P46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7" r:id="rId14"/>
    <hyperlink ref="O28" r:id="rId15"/>
    <hyperlink ref="O30" r:id="rId16"/>
    <hyperlink ref="O31" r:id="rId17"/>
    <hyperlink ref="O32" r:id="rId18"/>
    <hyperlink ref="O33" r:id="rId19"/>
    <hyperlink ref="O34" r:id="rId20"/>
    <hyperlink ref="O35" r:id="rId21"/>
    <hyperlink ref="O37" r:id="rId22"/>
    <hyperlink ref="O40" r:id="rId23"/>
    <hyperlink ref="O24" r:id="rId24"/>
    <hyperlink ref="O29" r:id="rId25"/>
    <hyperlink ref="O36" r:id="rId26"/>
    <hyperlink ref="O26" r:id="rId27"/>
    <hyperlink ref="O41" r:id="rId28"/>
    <hyperlink ref="O42" r:id="rId29"/>
    <hyperlink ref="O43" r:id="rId30"/>
    <hyperlink ref="O44" r:id="rId31"/>
  </hyperlinks>
  <pageMargins left="0.7" right="0.7" top="0.75" bottom="0.75" header="0.3" footer="0.3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2023-11-16T14:26:20Z</dcterms:modified>
</cp:coreProperties>
</file>